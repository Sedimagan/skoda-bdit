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2026\REPORTS\"/>
    </mc:Choice>
  </mc:AlternateContent>
  <xr:revisionPtr revIDLastSave="0" documentId="8_{60371E74-8358-49F7-AF8F-B9BEAD993185}" xr6:coauthVersionLast="47" xr6:coauthVersionMax="47" xr10:uidLastSave="{00000000-0000-0000-0000-000000000000}"/>
  <workbookProtection workbookAlgorithmName="SHA-1" workbookHashValue="8WH0j5TEke4mqmOFEN5AQUezs7w=" workbookSaltValue="q6HVh4JQKdwIQwbSB/xV5g==" workbookSpinCount="100000" lockStructure="1"/>
  <bookViews>
    <workbookView xWindow="-108" yWindow="-108" windowWidth="23256" windowHeight="12456" xr2:uid="{3FF5F052-605C-45B1-B14F-73D30296B24C}"/>
  </bookViews>
  <sheets>
    <sheet name="Dashboard" sheetId="1" r:id="rId1"/>
    <sheet name="Investor List" sheetId="2" state="hidden" r:id="rId2"/>
    <sheet name="Investor Master Data" sheetId="6" state="hidden" r:id="rId3"/>
    <sheet name="Main_Data_Sales" sheetId="3" state="hidden" r:id="rId4"/>
    <sheet name="Main_Data_Service" sheetId="7" state="hidden" r:id="rId5"/>
    <sheet name="Sheet1" sheetId="8" state="hidden" r:id="rId6"/>
    <sheet name="Sheet2" sheetId="9" state="hidden" r:id="rId7"/>
    <sheet name="Pivot_Master" sheetId="4" state="hidden" r:id="rId8"/>
  </sheets>
  <externalReferences>
    <externalReference r:id="rId9"/>
    <externalReference r:id="rId10"/>
    <externalReference r:id="rId11"/>
  </externalReferences>
  <definedNames>
    <definedName name="_xlnm._FilterDatabase" localSheetId="1" hidden="1">'Investor List'!$B$1:$D$84</definedName>
    <definedName name="_xlnm._FilterDatabase" localSheetId="2" hidden="1">'Investor Master Data'!$A$3:$V$84</definedName>
    <definedName name="_xlnm._FilterDatabase" localSheetId="3" hidden="1">Main_Data_Sales!$A$2:$AA$511</definedName>
    <definedName name="_xlnm._FilterDatabase" localSheetId="4" hidden="1">Main_Data_Service!$A$2:$AA$215</definedName>
    <definedName name="_xlnm._FilterDatabase" localSheetId="6" hidden="1">Sheet2!$C$2:$G$81</definedName>
    <definedName name="_xleta.IFERROR" hidden="1" xlm="1">#NAME?</definedName>
    <definedName name="_xleta.SUM" hidden="1" xlm="1">#NAME?</definedName>
    <definedName name="_xlnm.Print_Area" localSheetId="0">Dashboard!$A$1:$T$31</definedName>
    <definedName name="_xlnm.Print_Area" localSheetId="5">Sheet1!$A$1:$T$34</definedName>
  </definedNames>
  <calcPr calcId="191029"/>
  <pivotCaches>
    <pivotCache cacheId="6" r:id="rId12"/>
    <pivotCache cacheId="7" r:id="rId13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6" l="1"/>
  <c r="E84" i="6"/>
  <c r="P261" i="3"/>
  <c r="P260" i="3"/>
  <c r="P259" i="3"/>
  <c r="P258" i="3"/>
  <c r="P257" i="3"/>
  <c r="P256" i="3"/>
  <c r="P255" i="3"/>
  <c r="P254" i="3"/>
  <c r="P253" i="3"/>
  <c r="P252" i="3"/>
  <c r="P251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B62" i="3"/>
  <c r="B61" i="3"/>
  <c r="B60" i="3"/>
  <c r="B59" i="3"/>
  <c r="B58" i="3"/>
  <c r="S110" i="7" l="1"/>
  <c r="S109" i="7"/>
  <c r="S108" i="7"/>
  <c r="P110" i="7"/>
  <c r="T110" i="7" s="1"/>
  <c r="P109" i="7"/>
  <c r="T109" i="7" s="1"/>
  <c r="P108" i="7"/>
  <c r="T108" i="7" s="1"/>
  <c r="B110" i="7"/>
  <c r="B109" i="7"/>
  <c r="B108" i="7"/>
  <c r="S260" i="3" l="1"/>
  <c r="S259" i="3"/>
  <c r="S258" i="3"/>
  <c r="S257" i="3"/>
  <c r="S256" i="3"/>
  <c r="S255" i="3"/>
  <c r="T260" i="3"/>
  <c r="T259" i="3"/>
  <c r="T258" i="3"/>
  <c r="T257" i="3"/>
  <c r="T256" i="3"/>
  <c r="T255" i="3"/>
  <c r="E260" i="3"/>
  <c r="B260" i="3" s="1"/>
  <c r="E259" i="3"/>
  <c r="B259" i="3" s="1"/>
  <c r="B258" i="3"/>
  <c r="B257" i="3"/>
  <c r="E256" i="3"/>
  <c r="B256" i="3" s="1"/>
  <c r="E255" i="3"/>
  <c r="B255" i="3" s="1"/>
  <c r="P4" i="7" l="1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11" i="7"/>
  <c r="P3" i="7"/>
  <c r="B242" i="3" l="1"/>
  <c r="S242" i="3"/>
  <c r="B254" i="3" l="1"/>
  <c r="B102" i="7" l="1"/>
  <c r="T102" i="7"/>
  <c r="S102" i="7"/>
  <c r="B101" i="7"/>
  <c r="T101" i="7"/>
  <c r="S101" i="7"/>
  <c r="B106" i="7" l="1"/>
  <c r="B105" i="7"/>
  <c r="B253" i="3"/>
  <c r="B252" i="3"/>
  <c r="B251" i="3"/>
  <c r="B250" i="3"/>
  <c r="B249" i="3"/>
  <c r="B248" i="3"/>
  <c r="B247" i="3"/>
  <c r="B246" i="3" l="1"/>
  <c r="B244" i="3" l="1"/>
  <c r="B243" i="3"/>
  <c r="C104" i="7"/>
  <c r="B104" i="7" s="1"/>
  <c r="B245" i="3"/>
  <c r="P1" i="7" l="1"/>
  <c r="C1" i="8" l="1"/>
  <c r="A99" i="7" l="1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6" i="7"/>
  <c r="A75" i="7"/>
  <c r="A74" i="7"/>
  <c r="A73" i="7"/>
  <c r="A72" i="7"/>
  <c r="A71" i="7"/>
  <c r="A70" i="7"/>
  <c r="A69" i="7"/>
  <c r="A68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B237" i="3" l="1"/>
  <c r="B238" i="3"/>
  <c r="B239" i="3"/>
  <c r="B240" i="3"/>
  <c r="B241" i="3"/>
  <c r="B99" i="7" l="1"/>
  <c r="B100" i="7"/>
  <c r="B98" i="7"/>
  <c r="B230" i="3"/>
  <c r="B231" i="3"/>
  <c r="B232" i="3"/>
  <c r="B233" i="3"/>
  <c r="B234" i="3"/>
  <c r="B235" i="3"/>
  <c r="B236" i="3"/>
  <c r="B204" i="3"/>
  <c r="B103" i="7" l="1"/>
  <c r="B93" i="7"/>
  <c r="B94" i="7"/>
  <c r="B95" i="7"/>
  <c r="B96" i="7"/>
  <c r="B97" i="7"/>
  <c r="B216" i="3" l="1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A4" i="1" l="1"/>
  <c r="V9" i="4" s="1"/>
  <c r="P1" i="3" l="1"/>
  <c r="F22" i="8" l="1"/>
  <c r="F21" i="8" s="1"/>
  <c r="E22" i="8"/>
  <c r="E21" i="8" s="1"/>
  <c r="D22" i="8"/>
  <c r="D21" i="8" s="1"/>
  <c r="C22" i="8"/>
  <c r="M7" i="8"/>
  <c r="M3" i="8" s="1"/>
  <c r="L7" i="8"/>
  <c r="L3" i="8" s="1"/>
  <c r="K7" i="8"/>
  <c r="K3" i="8" s="1"/>
  <c r="J7" i="8"/>
  <c r="J3" i="8" s="1"/>
  <c r="I7" i="8"/>
  <c r="I3" i="8" s="1"/>
  <c r="H7" i="8"/>
  <c r="H3" i="8" s="1"/>
  <c r="G7" i="8"/>
  <c r="G3" i="8" s="1"/>
  <c r="F7" i="8"/>
  <c r="F3" i="8" s="1"/>
  <c r="E7" i="8"/>
  <c r="E3" i="8" s="1"/>
  <c r="D7" i="8"/>
  <c r="D3" i="8" s="1"/>
  <c r="C7" i="8"/>
  <c r="B6" i="7"/>
  <c r="B7" i="7"/>
  <c r="B8" i="7"/>
  <c r="B9" i="7"/>
  <c r="B10" i="7"/>
  <c r="B11" i="7"/>
  <c r="B12" i="7"/>
  <c r="B13" i="7"/>
  <c r="B14" i="7"/>
  <c r="B17" i="7"/>
  <c r="B18" i="7"/>
  <c r="B19" i="7"/>
  <c r="B20" i="7"/>
  <c r="B21" i="7"/>
  <c r="B22" i="7"/>
  <c r="B23" i="7"/>
  <c r="B24" i="7"/>
  <c r="B25" i="7"/>
  <c r="B28" i="7"/>
  <c r="B29" i="7"/>
  <c r="B30" i="7"/>
  <c r="B31" i="7"/>
  <c r="B32" i="7"/>
  <c r="B33" i="7"/>
  <c r="B34" i="7"/>
  <c r="B35" i="7"/>
  <c r="B36" i="7"/>
  <c r="B39" i="7"/>
  <c r="B40" i="7"/>
  <c r="B41" i="7"/>
  <c r="B42" i="7"/>
  <c r="B43" i="7"/>
  <c r="B44" i="7"/>
  <c r="B45" i="7"/>
  <c r="B46" i="7"/>
  <c r="B47" i="7"/>
  <c r="B50" i="7"/>
  <c r="B51" i="7"/>
  <c r="B52" i="7"/>
  <c r="B53" i="7"/>
  <c r="B54" i="7"/>
  <c r="B55" i="7"/>
  <c r="B56" i="7"/>
  <c r="B57" i="7"/>
  <c r="B58" i="7"/>
  <c r="B59" i="7"/>
  <c r="B62" i="7"/>
  <c r="B63" i="7"/>
  <c r="B64" i="7"/>
  <c r="B65" i="7"/>
  <c r="B66" i="7"/>
  <c r="B67" i="7"/>
  <c r="B68" i="7"/>
  <c r="B69" i="7"/>
  <c r="B70" i="7"/>
  <c r="B71" i="7"/>
  <c r="B74" i="7"/>
  <c r="B75" i="7"/>
  <c r="B76" i="7"/>
  <c r="B77" i="7"/>
  <c r="B78" i="7"/>
  <c r="B79" i="7"/>
  <c r="B80" i="7"/>
  <c r="B81" i="7"/>
  <c r="B82" i="7"/>
  <c r="B83" i="7"/>
  <c r="B86" i="7"/>
  <c r="B87" i="7"/>
  <c r="B88" i="7"/>
  <c r="B89" i="7"/>
  <c r="B90" i="7"/>
  <c r="B91" i="7"/>
  <c r="B92" i="7"/>
  <c r="B3" i="7"/>
  <c r="B4" i="7"/>
  <c r="B5" i="7"/>
  <c r="B15" i="7"/>
  <c r="B16" i="7"/>
  <c r="B26" i="7"/>
  <c r="B27" i="7"/>
  <c r="B37" i="7"/>
  <c r="B38" i="7"/>
  <c r="B48" i="7"/>
  <c r="B49" i="7"/>
  <c r="B60" i="7"/>
  <c r="B61" i="7"/>
  <c r="B72" i="7"/>
  <c r="B73" i="7"/>
  <c r="B84" i="7"/>
  <c r="B8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T2" i="4"/>
  <c r="B7" i="3"/>
  <c r="B13" i="3"/>
  <c r="B23" i="3"/>
  <c r="B43" i="3"/>
  <c r="B55" i="3"/>
  <c r="B67" i="3"/>
  <c r="B77" i="3"/>
  <c r="B88" i="3"/>
  <c r="B100" i="3"/>
  <c r="B112" i="3"/>
  <c r="B124" i="3"/>
  <c r="B135" i="3"/>
  <c r="B147" i="3"/>
  <c r="B158" i="3"/>
  <c r="B170" i="3"/>
  <c r="B182" i="3"/>
  <c r="B194" i="3"/>
  <c r="B206" i="3"/>
  <c r="B4" i="3"/>
  <c r="B5" i="3"/>
  <c r="B6" i="3"/>
  <c r="B8" i="3"/>
  <c r="B9" i="3"/>
  <c r="B10" i="3"/>
  <c r="B11" i="3"/>
  <c r="B12" i="3"/>
  <c r="B14" i="3"/>
  <c r="B15" i="3"/>
  <c r="B16" i="3"/>
  <c r="B17" i="3"/>
  <c r="B18" i="3"/>
  <c r="B19" i="3"/>
  <c r="B20" i="3"/>
  <c r="B21" i="3"/>
  <c r="B22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4" i="3"/>
  <c r="B45" i="3"/>
  <c r="B46" i="3"/>
  <c r="B47" i="3"/>
  <c r="B48" i="3"/>
  <c r="B49" i="3"/>
  <c r="B50" i="3"/>
  <c r="B51" i="3"/>
  <c r="B52" i="3"/>
  <c r="B53" i="3"/>
  <c r="B54" i="3"/>
  <c r="B56" i="3"/>
  <c r="B57" i="3"/>
  <c r="B63" i="3"/>
  <c r="B64" i="3"/>
  <c r="B65" i="3"/>
  <c r="B66" i="3"/>
  <c r="B68" i="3"/>
  <c r="B69" i="3"/>
  <c r="B70" i="3"/>
  <c r="B71" i="3"/>
  <c r="B72" i="3"/>
  <c r="B73" i="3"/>
  <c r="B74" i="3"/>
  <c r="B75" i="3"/>
  <c r="B76" i="3"/>
  <c r="B78" i="3"/>
  <c r="B79" i="3"/>
  <c r="B80" i="3"/>
  <c r="B81" i="3"/>
  <c r="B82" i="3"/>
  <c r="B83" i="3"/>
  <c r="B84" i="3"/>
  <c r="B85" i="3"/>
  <c r="B86" i="3"/>
  <c r="B87" i="3"/>
  <c r="B89" i="3"/>
  <c r="B90" i="3"/>
  <c r="B91" i="3"/>
  <c r="B92" i="3"/>
  <c r="B93" i="3"/>
  <c r="B94" i="3"/>
  <c r="B95" i="3"/>
  <c r="B96" i="3"/>
  <c r="B97" i="3"/>
  <c r="B98" i="3"/>
  <c r="B99" i="3"/>
  <c r="B101" i="3"/>
  <c r="B102" i="3"/>
  <c r="B103" i="3"/>
  <c r="B104" i="3"/>
  <c r="B105" i="3"/>
  <c r="B106" i="3"/>
  <c r="B107" i="3"/>
  <c r="B108" i="3"/>
  <c r="B109" i="3"/>
  <c r="B110" i="3"/>
  <c r="B111" i="3"/>
  <c r="B113" i="3"/>
  <c r="B114" i="3"/>
  <c r="B115" i="3"/>
  <c r="B116" i="3"/>
  <c r="B117" i="3"/>
  <c r="B118" i="3"/>
  <c r="B119" i="3"/>
  <c r="B120" i="3"/>
  <c r="B121" i="3"/>
  <c r="B122" i="3"/>
  <c r="B123" i="3"/>
  <c r="B125" i="3"/>
  <c r="B126" i="3"/>
  <c r="B127" i="3"/>
  <c r="B128" i="3"/>
  <c r="B129" i="3"/>
  <c r="B130" i="3"/>
  <c r="B131" i="3"/>
  <c r="B132" i="3"/>
  <c r="B133" i="3"/>
  <c r="B134" i="3"/>
  <c r="B136" i="3"/>
  <c r="B137" i="3"/>
  <c r="B138" i="3"/>
  <c r="B139" i="3"/>
  <c r="B140" i="3"/>
  <c r="B141" i="3"/>
  <c r="B142" i="3"/>
  <c r="B143" i="3"/>
  <c r="B144" i="3"/>
  <c r="B145" i="3"/>
  <c r="B146" i="3"/>
  <c r="B148" i="3"/>
  <c r="B149" i="3"/>
  <c r="B150" i="3"/>
  <c r="B151" i="3"/>
  <c r="B152" i="3"/>
  <c r="B153" i="3"/>
  <c r="B154" i="3"/>
  <c r="B155" i="3"/>
  <c r="B156" i="3"/>
  <c r="B157" i="3"/>
  <c r="B159" i="3"/>
  <c r="B160" i="3"/>
  <c r="B161" i="3"/>
  <c r="B162" i="3"/>
  <c r="B163" i="3"/>
  <c r="B164" i="3"/>
  <c r="B165" i="3"/>
  <c r="B166" i="3"/>
  <c r="B167" i="3"/>
  <c r="B168" i="3"/>
  <c r="B169" i="3"/>
  <c r="B171" i="3"/>
  <c r="B172" i="3"/>
  <c r="B173" i="3"/>
  <c r="B174" i="3"/>
  <c r="B175" i="3"/>
  <c r="B176" i="3"/>
  <c r="B177" i="3"/>
  <c r="B178" i="3"/>
  <c r="B179" i="3"/>
  <c r="B180" i="3"/>
  <c r="B181" i="3"/>
  <c r="B183" i="3"/>
  <c r="B184" i="3"/>
  <c r="B185" i="3"/>
  <c r="B186" i="3"/>
  <c r="B187" i="3"/>
  <c r="B188" i="3"/>
  <c r="B189" i="3"/>
  <c r="B190" i="3"/>
  <c r="B191" i="3"/>
  <c r="B192" i="3"/>
  <c r="B193" i="3"/>
  <c r="B195" i="3"/>
  <c r="B196" i="3"/>
  <c r="B197" i="3"/>
  <c r="B198" i="3"/>
  <c r="B199" i="3"/>
  <c r="B200" i="3"/>
  <c r="B201" i="3"/>
  <c r="B202" i="3"/>
  <c r="B203" i="3"/>
  <c r="B205" i="3"/>
  <c r="B207" i="3"/>
  <c r="B208" i="3"/>
  <c r="B209" i="3"/>
  <c r="B210" i="3"/>
  <c r="B211" i="3"/>
  <c r="B212" i="3"/>
  <c r="B213" i="3"/>
  <c r="B214" i="3"/>
  <c r="B215" i="3"/>
  <c r="B3" i="3"/>
  <c r="D84" i="6" l="1"/>
  <c r="F84" i="6" s="1"/>
  <c r="R12" i="4"/>
  <c r="R13" i="4"/>
  <c r="J6" i="8"/>
  <c r="J15" i="8"/>
  <c r="L15" i="8"/>
  <c r="L6" i="8"/>
  <c r="M6" i="8"/>
  <c r="M15" i="8"/>
  <c r="C19" i="8"/>
  <c r="C25" i="8"/>
  <c r="C21" i="8"/>
  <c r="C26" i="8"/>
  <c r="C27" i="8"/>
  <c r="C24" i="8"/>
  <c r="C28" i="8"/>
  <c r="C30" i="8"/>
  <c r="C23" i="8"/>
  <c r="F15" i="8"/>
  <c r="F6" i="8"/>
  <c r="I6" i="8"/>
  <c r="I15" i="8"/>
  <c r="K6" i="8"/>
  <c r="K15" i="8"/>
  <c r="C15" i="8"/>
  <c r="C6" i="8"/>
  <c r="D19" i="8"/>
  <c r="D26" i="8"/>
  <c r="D30" i="8"/>
  <c r="D27" i="8"/>
  <c r="D24" i="8"/>
  <c r="D23" i="8"/>
  <c r="D28" i="8"/>
  <c r="D25" i="8"/>
  <c r="G15" i="8"/>
  <c r="G6" i="8"/>
  <c r="D6" i="8"/>
  <c r="D15" i="8"/>
  <c r="E19" i="8"/>
  <c r="E25" i="8"/>
  <c r="E23" i="8"/>
  <c r="E28" i="8"/>
  <c r="E27" i="8"/>
  <c r="E24" i="8"/>
  <c r="E26" i="8"/>
  <c r="E30" i="8"/>
  <c r="H6" i="8"/>
  <c r="H15" i="8"/>
  <c r="E15" i="8"/>
  <c r="E6" i="8"/>
  <c r="F19" i="8"/>
  <c r="F28" i="8"/>
  <c r="F25" i="8"/>
  <c r="F24" i="8"/>
  <c r="F30" i="8"/>
  <c r="F27" i="8"/>
  <c r="F26" i="8"/>
  <c r="F23" i="8"/>
  <c r="I13" i="8"/>
  <c r="I12" i="8"/>
  <c r="I11" i="8"/>
  <c r="I10" i="8"/>
  <c r="I8" i="8"/>
  <c r="I9" i="8"/>
  <c r="G11" i="8"/>
  <c r="G10" i="8"/>
  <c r="G13" i="8"/>
  <c r="G12" i="8"/>
  <c r="G9" i="8"/>
  <c r="G8" i="8"/>
  <c r="L8" i="8"/>
  <c r="L13" i="8"/>
  <c r="L12" i="8"/>
  <c r="L11" i="8"/>
  <c r="L10" i="8"/>
  <c r="L9" i="8"/>
  <c r="F10" i="8"/>
  <c r="F8" i="8"/>
  <c r="F9" i="8"/>
  <c r="F13" i="8"/>
  <c r="F11" i="8"/>
  <c r="F12" i="8"/>
  <c r="H12" i="8"/>
  <c r="H11" i="8"/>
  <c r="H10" i="8"/>
  <c r="H9" i="8"/>
  <c r="H8" i="8"/>
  <c r="H13" i="8"/>
  <c r="J13" i="8"/>
  <c r="J12" i="8"/>
  <c r="J11" i="8"/>
  <c r="J10" i="8"/>
  <c r="J9" i="8"/>
  <c r="J8" i="8"/>
  <c r="M8" i="8"/>
  <c r="M13" i="8"/>
  <c r="M12" i="8"/>
  <c r="M11" i="8"/>
  <c r="M10" i="8"/>
  <c r="M9" i="8"/>
  <c r="K8" i="8"/>
  <c r="K13" i="8"/>
  <c r="K12" i="8"/>
  <c r="K11" i="8"/>
  <c r="K10" i="8"/>
  <c r="K9" i="8"/>
  <c r="C3" i="8"/>
  <c r="C9" i="8"/>
  <c r="C8" i="8"/>
  <c r="C13" i="8"/>
  <c r="C10" i="8"/>
  <c r="C12" i="8"/>
  <c r="C11" i="8"/>
  <c r="D9" i="8"/>
  <c r="D8" i="8"/>
  <c r="D13" i="8"/>
  <c r="D12" i="8"/>
  <c r="D10" i="8"/>
  <c r="D11" i="8"/>
  <c r="E10" i="8"/>
  <c r="E9" i="8"/>
  <c r="E8" i="8"/>
  <c r="E13" i="8"/>
  <c r="E12" i="8"/>
  <c r="E11" i="8"/>
  <c r="E82" i="6"/>
  <c r="E83" i="6"/>
  <c r="H5" i="8"/>
  <c r="L5" i="8"/>
  <c r="J5" i="8"/>
  <c r="F5" i="8"/>
  <c r="G5" i="8"/>
  <c r="I5" i="8"/>
  <c r="K5" i="8"/>
  <c r="M5" i="8"/>
  <c r="E18" i="8"/>
  <c r="C5" i="8"/>
  <c r="D5" i="8"/>
  <c r="E5" i="8"/>
  <c r="F18" i="8"/>
  <c r="C18" i="8"/>
  <c r="D18" i="8"/>
  <c r="F2" i="8"/>
  <c r="H2" i="8"/>
  <c r="J2" i="8"/>
  <c r="M2" i="8"/>
  <c r="L2" i="8"/>
  <c r="C2" i="8"/>
  <c r="D2" i="8"/>
  <c r="G2" i="8"/>
  <c r="I2" i="8"/>
  <c r="K2" i="8"/>
  <c r="E2" i="8"/>
  <c r="J84" i="6" l="1"/>
  <c r="K84" i="6"/>
  <c r="I84" i="6"/>
  <c r="D29" i="8"/>
  <c r="D31" i="8" s="1"/>
  <c r="E29" i="8"/>
  <c r="E31" i="8" s="1"/>
  <c r="F29" i="8"/>
  <c r="F31" i="8" s="1"/>
  <c r="C29" i="8"/>
  <c r="C31" i="8" s="1"/>
  <c r="F14" i="8"/>
  <c r="F16" i="8" s="1"/>
  <c r="H14" i="8"/>
  <c r="H16" i="8" s="1"/>
  <c r="E14" i="8"/>
  <c r="E16" i="8" s="1"/>
  <c r="M14" i="8"/>
  <c r="M16" i="8" s="1"/>
  <c r="D14" i="8"/>
  <c r="D16" i="8" s="1"/>
  <c r="L14" i="8"/>
  <c r="L16" i="8" s="1"/>
  <c r="C14" i="8"/>
  <c r="C16" i="8" s="1"/>
  <c r="K14" i="8"/>
  <c r="K16" i="8" s="1"/>
  <c r="J14" i="8"/>
  <c r="J16" i="8" s="1"/>
  <c r="I14" i="8"/>
  <c r="I16" i="8" s="1"/>
  <c r="G14" i="8"/>
  <c r="G16" i="8" s="1"/>
  <c r="L84" i="6" l="1"/>
  <c r="T84" i="6" s="1"/>
  <c r="M84" i="6"/>
  <c r="C17" i="8"/>
  <c r="C32" i="8"/>
  <c r="D1" i="8"/>
  <c r="C43" i="8" l="1"/>
  <c r="V5" i="4"/>
  <c r="V7" i="4" s="1"/>
  <c r="V4" i="4"/>
  <c r="T4" i="4" l="1"/>
  <c r="V6" i="4"/>
  <c r="S170" i="3" l="1"/>
  <c r="T170" i="3"/>
  <c r="S210" i="3"/>
  <c r="T210" i="3"/>
  <c r="S114" i="3"/>
  <c r="T114" i="3"/>
  <c r="S102" i="3"/>
  <c r="T102" i="3"/>
  <c r="S83" i="3"/>
  <c r="T83" i="3"/>
  <c r="S60" i="3"/>
  <c r="T60" i="3"/>
  <c r="T49" i="3"/>
  <c r="S49" i="3"/>
  <c r="S6" i="3"/>
  <c r="T6" i="3"/>
  <c r="S25" i="3"/>
  <c r="T25" i="3"/>
  <c r="S9" i="3"/>
  <c r="T9" i="3"/>
  <c r="S241" i="3"/>
  <c r="T241" i="3"/>
  <c r="T203" i="3"/>
  <c r="S203" i="3"/>
  <c r="S192" i="3"/>
  <c r="T192" i="3"/>
  <c r="T180" i="3"/>
  <c r="S180" i="3"/>
  <c r="T169" i="3"/>
  <c r="S169" i="3"/>
  <c r="T161" i="3"/>
  <c r="S161" i="3"/>
  <c r="S244" i="3"/>
  <c r="T244" i="3"/>
  <c r="S143" i="3"/>
  <c r="T143" i="3"/>
  <c r="S137" i="3"/>
  <c r="T137" i="3"/>
  <c r="S125" i="3"/>
  <c r="T125" i="3"/>
  <c r="S113" i="3"/>
  <c r="T113" i="3"/>
  <c r="T101" i="3"/>
  <c r="S101" i="3"/>
  <c r="S93" i="3"/>
  <c r="T93" i="3"/>
  <c r="S79" i="3"/>
  <c r="T79" i="3"/>
  <c r="S223" i="3"/>
  <c r="T223" i="3"/>
  <c r="S59" i="3"/>
  <c r="T59" i="3"/>
  <c r="S48" i="3"/>
  <c r="T48" i="3"/>
  <c r="S39" i="3"/>
  <c r="T39" i="3"/>
  <c r="S219" i="3"/>
  <c r="T219" i="3"/>
  <c r="T24" i="3"/>
  <c r="S24" i="3"/>
  <c r="S162" i="3"/>
  <c r="T162" i="3"/>
  <c r="T144" i="3"/>
  <c r="S144" i="3"/>
  <c r="T126" i="3"/>
  <c r="S126" i="3"/>
  <c r="S90" i="3"/>
  <c r="T90" i="3"/>
  <c r="T70" i="3"/>
  <c r="D27" i="6" s="1"/>
  <c r="S70" i="3"/>
  <c r="S40" i="3"/>
  <c r="T40" i="3"/>
  <c r="S253" i="3"/>
  <c r="T253" i="3"/>
  <c r="S243" i="3"/>
  <c r="T243" i="3"/>
  <c r="S202" i="3"/>
  <c r="T202" i="3"/>
  <c r="D71" i="6" s="1"/>
  <c r="S191" i="3"/>
  <c r="T191" i="3"/>
  <c r="S176" i="3"/>
  <c r="T176" i="3"/>
  <c r="S168" i="3"/>
  <c r="T168" i="3"/>
  <c r="D63" i="6" s="1"/>
  <c r="S160" i="3"/>
  <c r="T160" i="3"/>
  <c r="T164" i="3"/>
  <c r="S164" i="3"/>
  <c r="S142" i="3"/>
  <c r="T142" i="3"/>
  <c r="S136" i="3"/>
  <c r="T136" i="3"/>
  <c r="D49" i="6" s="1"/>
  <c r="S124" i="3"/>
  <c r="T124" i="3"/>
  <c r="D45" i="6" s="1"/>
  <c r="T112" i="3"/>
  <c r="S112" i="3"/>
  <c r="S100" i="3"/>
  <c r="T100" i="3"/>
  <c r="S92" i="3"/>
  <c r="T92" i="3"/>
  <c r="S78" i="3"/>
  <c r="T78" i="3"/>
  <c r="S222" i="3"/>
  <c r="T222" i="3"/>
  <c r="D78" i="6" s="1"/>
  <c r="T58" i="3"/>
  <c r="S58" i="3"/>
  <c r="S47" i="3"/>
  <c r="T47" i="3"/>
  <c r="T38" i="3"/>
  <c r="S38" i="3"/>
  <c r="S218" i="3"/>
  <c r="T218" i="3"/>
  <c r="T206" i="3"/>
  <c r="S206" i="3"/>
  <c r="S10" i="3"/>
  <c r="T10" i="3"/>
  <c r="S150" i="3"/>
  <c r="T150" i="3"/>
  <c r="S205" i="3"/>
  <c r="T205" i="3"/>
  <c r="S190" i="3"/>
  <c r="T190" i="3"/>
  <c r="S178" i="3"/>
  <c r="T178" i="3"/>
  <c r="T23" i="3"/>
  <c r="S23" i="3"/>
  <c r="S159" i="3"/>
  <c r="T159" i="3"/>
  <c r="T163" i="3"/>
  <c r="S163" i="3"/>
  <c r="T141" i="3"/>
  <c r="S141" i="3"/>
  <c r="S134" i="3"/>
  <c r="T134" i="3"/>
  <c r="T123" i="3"/>
  <c r="S123" i="3"/>
  <c r="S111" i="3"/>
  <c r="T111" i="3"/>
  <c r="S99" i="3"/>
  <c r="T99" i="3"/>
  <c r="S89" i="3"/>
  <c r="T89" i="3"/>
  <c r="S77" i="3"/>
  <c r="T77" i="3"/>
  <c r="S68" i="3"/>
  <c r="T68" i="3"/>
  <c r="S56" i="3"/>
  <c r="T56" i="3"/>
  <c r="T46" i="3"/>
  <c r="S46" i="3"/>
  <c r="S37" i="3"/>
  <c r="T37" i="3"/>
  <c r="S217" i="3"/>
  <c r="T217" i="3"/>
  <c r="D77" i="6" s="1"/>
  <c r="T17" i="3"/>
  <c r="S17" i="3"/>
  <c r="S193" i="3"/>
  <c r="T193" i="3"/>
  <c r="S239" i="3"/>
  <c r="T239" i="3"/>
  <c r="S251" i="3"/>
  <c r="T251" i="3"/>
  <c r="S238" i="3"/>
  <c r="T238" i="3"/>
  <c r="S201" i="3"/>
  <c r="T201" i="3"/>
  <c r="S189" i="3"/>
  <c r="T189" i="3"/>
  <c r="S177" i="3"/>
  <c r="T177" i="3"/>
  <c r="S22" i="3"/>
  <c r="T22" i="3"/>
  <c r="S158" i="3"/>
  <c r="T158" i="3"/>
  <c r="T227" i="3"/>
  <c r="S227" i="3"/>
  <c r="T139" i="3"/>
  <c r="S139" i="3"/>
  <c r="S135" i="3"/>
  <c r="T135" i="3"/>
  <c r="T122" i="3"/>
  <c r="D44" i="6" s="1"/>
  <c r="S122" i="3"/>
  <c r="S110" i="3"/>
  <c r="T110" i="3"/>
  <c r="S98" i="3"/>
  <c r="T98" i="3"/>
  <c r="S88" i="3"/>
  <c r="T88" i="3"/>
  <c r="S224" i="3"/>
  <c r="T224" i="3"/>
  <c r="D79" i="6" s="1"/>
  <c r="S67" i="3"/>
  <c r="T67" i="3"/>
  <c r="T55" i="3"/>
  <c r="S55" i="3"/>
  <c r="S45" i="3"/>
  <c r="T45" i="3"/>
  <c r="T36" i="3"/>
  <c r="S36" i="3"/>
  <c r="S32" i="3"/>
  <c r="T32" i="3"/>
  <c r="S16" i="3"/>
  <c r="T16" i="3"/>
  <c r="S245" i="3"/>
  <c r="T245" i="3"/>
  <c r="S252" i="3"/>
  <c r="T252" i="3"/>
  <c r="S254" i="3"/>
  <c r="T254" i="3"/>
  <c r="D82" i="6" s="1"/>
  <c r="F82" i="6" s="1"/>
  <c r="S240" i="3"/>
  <c r="T240" i="3"/>
  <c r="S200" i="3"/>
  <c r="T200" i="3"/>
  <c r="S188" i="3"/>
  <c r="T188" i="3"/>
  <c r="S175" i="3"/>
  <c r="T175" i="3"/>
  <c r="S20" i="3"/>
  <c r="T20" i="3"/>
  <c r="S228" i="3"/>
  <c r="T228" i="3"/>
  <c r="S149" i="3"/>
  <c r="T149" i="3"/>
  <c r="S138" i="3"/>
  <c r="T138" i="3"/>
  <c r="S133" i="3"/>
  <c r="T133" i="3"/>
  <c r="T121" i="3"/>
  <c r="S121" i="3"/>
  <c r="S109" i="3"/>
  <c r="T109" i="3"/>
  <c r="S97" i="3"/>
  <c r="T97" i="3"/>
  <c r="S87" i="3"/>
  <c r="T87" i="3"/>
  <c r="S213" i="3"/>
  <c r="T213" i="3"/>
  <c r="D75" i="6" s="1"/>
  <c r="S66" i="3"/>
  <c r="T66" i="3"/>
  <c r="S54" i="3"/>
  <c r="T54" i="3"/>
  <c r="D24" i="6" s="1"/>
  <c r="S44" i="3"/>
  <c r="T44" i="3"/>
  <c r="D20" i="6" s="1"/>
  <c r="S35" i="3"/>
  <c r="T35" i="3"/>
  <c r="S31" i="3"/>
  <c r="T31" i="3"/>
  <c r="S181" i="3"/>
  <c r="T181" i="3"/>
  <c r="S250" i="3"/>
  <c r="T250" i="3"/>
  <c r="T236" i="3"/>
  <c r="S236" i="3"/>
  <c r="T199" i="3"/>
  <c r="S199" i="3"/>
  <c r="S187" i="3"/>
  <c r="T187" i="3"/>
  <c r="S179" i="3"/>
  <c r="T179" i="3"/>
  <c r="T19" i="3"/>
  <c r="S19" i="3"/>
  <c r="T156" i="3"/>
  <c r="D57" i="6" s="1"/>
  <c r="S156" i="3"/>
  <c r="T148" i="3"/>
  <c r="S148" i="3"/>
  <c r="S140" i="3"/>
  <c r="T140" i="3"/>
  <c r="S132" i="3"/>
  <c r="T132" i="3"/>
  <c r="S120" i="3"/>
  <c r="T120" i="3"/>
  <c r="S108" i="3"/>
  <c r="T108" i="3"/>
  <c r="D41" i="6" s="1"/>
  <c r="S96" i="3"/>
  <c r="T96" i="3"/>
  <c r="D36" i="6" s="1"/>
  <c r="S85" i="3"/>
  <c r="T85" i="3"/>
  <c r="T76" i="3"/>
  <c r="D30" i="6" s="1"/>
  <c r="S76" i="3"/>
  <c r="T65" i="3"/>
  <c r="S65" i="3"/>
  <c r="S57" i="3"/>
  <c r="T57" i="3"/>
  <c r="S43" i="3"/>
  <c r="T43" i="3"/>
  <c r="D19" i="6" s="1"/>
  <c r="T204" i="3"/>
  <c r="D76" i="6" s="1"/>
  <c r="S204" i="3"/>
  <c r="S30" i="3"/>
  <c r="T30" i="3"/>
  <c r="D15" i="6" s="1"/>
  <c r="T11" i="3"/>
  <c r="S11" i="3"/>
  <c r="T15" i="3"/>
  <c r="S15" i="3"/>
  <c r="T249" i="3"/>
  <c r="S249" i="3"/>
  <c r="S235" i="3"/>
  <c r="T235" i="3"/>
  <c r="S198" i="3"/>
  <c r="T198" i="3"/>
  <c r="S186" i="3"/>
  <c r="T186" i="3"/>
  <c r="S229" i="3"/>
  <c r="T229" i="3"/>
  <c r="S21" i="3"/>
  <c r="T21" i="3"/>
  <c r="T155" i="3"/>
  <c r="S155" i="3"/>
  <c r="S147" i="3"/>
  <c r="T147" i="3"/>
  <c r="D54" i="6" s="1"/>
  <c r="S214" i="3"/>
  <c r="T214" i="3"/>
  <c r="S131" i="3"/>
  <c r="T131" i="3"/>
  <c r="S119" i="3"/>
  <c r="T119" i="3"/>
  <c r="S107" i="3"/>
  <c r="T107" i="3"/>
  <c r="S94" i="3"/>
  <c r="T94" i="3"/>
  <c r="S86" i="3"/>
  <c r="T86" i="3"/>
  <c r="S73" i="3"/>
  <c r="T73" i="3"/>
  <c r="S64" i="3"/>
  <c r="T64" i="3"/>
  <c r="S53" i="3"/>
  <c r="T53" i="3"/>
  <c r="S230" i="3"/>
  <c r="T230" i="3"/>
  <c r="S34" i="3"/>
  <c r="T34" i="3"/>
  <c r="T29" i="3"/>
  <c r="S29" i="3"/>
  <c r="S157" i="3"/>
  <c r="T157" i="3"/>
  <c r="D58" i="6" s="1"/>
  <c r="S185" i="3"/>
  <c r="T185" i="3"/>
  <c r="S174" i="3"/>
  <c r="T174" i="3"/>
  <c r="S18" i="3"/>
  <c r="T18" i="3"/>
  <c r="T154" i="3"/>
  <c r="S154" i="3"/>
  <c r="S215" i="3"/>
  <c r="T215" i="3"/>
  <c r="T209" i="3"/>
  <c r="S209" i="3"/>
  <c r="T130" i="3"/>
  <c r="S130" i="3"/>
  <c r="T118" i="3"/>
  <c r="S118" i="3"/>
  <c r="S106" i="3"/>
  <c r="T106" i="3"/>
  <c r="D40" i="6" s="1"/>
  <c r="S95" i="3"/>
  <c r="T95" i="3"/>
  <c r="S82" i="3"/>
  <c r="T82" i="3"/>
  <c r="S72" i="3"/>
  <c r="T72" i="3"/>
  <c r="D29" i="6" s="1"/>
  <c r="S69" i="3"/>
  <c r="T69" i="3"/>
  <c r="S52" i="3"/>
  <c r="T52" i="3"/>
  <c r="S211" i="3"/>
  <c r="T211" i="3"/>
  <c r="T33" i="3"/>
  <c r="S33" i="3"/>
  <c r="T28" i="3"/>
  <c r="D14" i="6" s="1"/>
  <c r="S28" i="3"/>
  <c r="S208" i="3"/>
  <c r="T208" i="3"/>
  <c r="D73" i="6" s="1"/>
  <c r="S197" i="3"/>
  <c r="T197" i="3"/>
  <c r="S247" i="3"/>
  <c r="T247" i="3"/>
  <c r="S233" i="3"/>
  <c r="T233" i="3"/>
  <c r="S196" i="3"/>
  <c r="T196" i="3"/>
  <c r="S184" i="3"/>
  <c r="T184" i="3"/>
  <c r="S173" i="3"/>
  <c r="T173" i="3"/>
  <c r="D65" i="6" s="1"/>
  <c r="T167" i="3"/>
  <c r="S167" i="3"/>
  <c r="S153" i="3"/>
  <c r="T153" i="3"/>
  <c r="S207" i="3"/>
  <c r="T207" i="3"/>
  <c r="S5" i="3"/>
  <c r="T5" i="3"/>
  <c r="S129" i="3"/>
  <c r="T129" i="3"/>
  <c r="D46" i="6" s="1"/>
  <c r="S117" i="3"/>
  <c r="T117" i="3"/>
  <c r="T105" i="3"/>
  <c r="S105" i="3"/>
  <c r="S226" i="3"/>
  <c r="T226" i="3"/>
  <c r="T81" i="3"/>
  <c r="S81" i="3"/>
  <c r="S75" i="3"/>
  <c r="T75" i="3"/>
  <c r="S63" i="3"/>
  <c r="T63" i="3"/>
  <c r="S51" i="3"/>
  <c r="T51" i="3"/>
  <c r="S212" i="3"/>
  <c r="T212" i="3"/>
  <c r="S220" i="3"/>
  <c r="T220" i="3"/>
  <c r="T216" i="3"/>
  <c r="S216" i="3"/>
  <c r="S234" i="3"/>
  <c r="T234" i="3"/>
  <c r="S13" i="3"/>
  <c r="T13" i="3"/>
  <c r="S237" i="3"/>
  <c r="T237" i="3"/>
  <c r="S232" i="3"/>
  <c r="T232" i="3"/>
  <c r="S195" i="3"/>
  <c r="T195" i="3"/>
  <c r="S183" i="3"/>
  <c r="T183" i="3"/>
  <c r="S172" i="3"/>
  <c r="T172" i="3"/>
  <c r="S166" i="3"/>
  <c r="T166" i="3"/>
  <c r="S152" i="3"/>
  <c r="T152" i="3"/>
  <c r="T146" i="3"/>
  <c r="S146" i="3"/>
  <c r="T4" i="3"/>
  <c r="S4" i="3"/>
  <c r="S128" i="3"/>
  <c r="T128" i="3"/>
  <c r="S116" i="3"/>
  <c r="T116" i="3"/>
  <c r="S104" i="3"/>
  <c r="T104" i="3"/>
  <c r="T225" i="3"/>
  <c r="D80" i="6" s="1"/>
  <c r="S225" i="3"/>
  <c r="T80" i="3"/>
  <c r="S80" i="3"/>
  <c r="S74" i="3"/>
  <c r="T74" i="3"/>
  <c r="S62" i="3"/>
  <c r="T62" i="3"/>
  <c r="S50" i="3"/>
  <c r="T50" i="3"/>
  <c r="S42" i="3"/>
  <c r="T42" i="3"/>
  <c r="S8" i="3"/>
  <c r="T8" i="3"/>
  <c r="S27" i="3"/>
  <c r="T27" i="3"/>
  <c r="T248" i="3"/>
  <c r="D83" i="6" s="1"/>
  <c r="F83" i="6" s="1"/>
  <c r="S248" i="3"/>
  <c r="T14" i="3"/>
  <c r="S14" i="3"/>
  <c r="S12" i="3"/>
  <c r="T12" i="3"/>
  <c r="D7" i="6" s="1"/>
  <c r="S246" i="3"/>
  <c r="T246" i="3"/>
  <c r="S231" i="3"/>
  <c r="T231" i="3"/>
  <c r="D53" i="6" s="1"/>
  <c r="T194" i="3"/>
  <c r="S194" i="3"/>
  <c r="S182" i="3"/>
  <c r="T182" i="3"/>
  <c r="S171" i="3"/>
  <c r="T171" i="3"/>
  <c r="S165" i="3"/>
  <c r="T165" i="3"/>
  <c r="T151" i="3"/>
  <c r="S151" i="3"/>
  <c r="S145" i="3"/>
  <c r="T145" i="3"/>
  <c r="T3" i="3"/>
  <c r="S3" i="3"/>
  <c r="S127" i="3"/>
  <c r="T127" i="3"/>
  <c r="S115" i="3"/>
  <c r="T115" i="3"/>
  <c r="T103" i="3"/>
  <c r="S103" i="3"/>
  <c r="S91" i="3"/>
  <c r="T91" i="3"/>
  <c r="S84" i="3"/>
  <c r="T84" i="3"/>
  <c r="S71" i="3"/>
  <c r="T71" i="3"/>
  <c r="D28" i="6" s="1"/>
  <c r="T61" i="3"/>
  <c r="S61" i="3"/>
  <c r="S221" i="3"/>
  <c r="T221" i="3"/>
  <c r="S41" i="3"/>
  <c r="T41" i="3"/>
  <c r="T7" i="3"/>
  <c r="S7" i="3"/>
  <c r="S26" i="3"/>
  <c r="T26" i="3"/>
  <c r="T82" i="7"/>
  <c r="S82" i="7"/>
  <c r="S92" i="7"/>
  <c r="T92" i="7"/>
  <c r="E72" i="6" s="1"/>
  <c r="S38" i="7"/>
  <c r="T38" i="7"/>
  <c r="E30" i="6" s="1"/>
  <c r="S91" i="7"/>
  <c r="T91" i="7"/>
  <c r="E71" i="6" s="1"/>
  <c r="S26" i="7"/>
  <c r="T26" i="7"/>
  <c r="E22" i="6" s="1"/>
  <c r="S90" i="7"/>
  <c r="T90" i="7"/>
  <c r="E70" i="6" s="1"/>
  <c r="T25" i="7"/>
  <c r="E21" i="6" s="1"/>
  <c r="S25" i="7"/>
  <c r="T89" i="7"/>
  <c r="S89" i="7"/>
  <c r="T24" i="7"/>
  <c r="E20" i="6" s="1"/>
  <c r="S24" i="7"/>
  <c r="S98" i="7"/>
  <c r="T98" i="7"/>
  <c r="E53" i="6" s="1"/>
  <c r="T83" i="7"/>
  <c r="E65" i="6" s="1"/>
  <c r="S83" i="7"/>
  <c r="S72" i="7"/>
  <c r="T72" i="7"/>
  <c r="E55" i="6" s="1"/>
  <c r="S97" i="7"/>
  <c r="T97" i="7"/>
  <c r="T49" i="7"/>
  <c r="S49" i="7"/>
  <c r="T39" i="7"/>
  <c r="S39" i="7"/>
  <c r="T29" i="7"/>
  <c r="E25" i="6" s="1"/>
  <c r="S29" i="7"/>
  <c r="S7" i="7"/>
  <c r="T7" i="7"/>
  <c r="E5" i="6" s="1"/>
  <c r="S48" i="7"/>
  <c r="T48" i="7"/>
  <c r="E36" i="6" s="1"/>
  <c r="F36" i="6" s="1"/>
  <c r="T18" i="7"/>
  <c r="E16" i="6" s="1"/>
  <c r="S18" i="7"/>
  <c r="S37" i="7"/>
  <c r="T37" i="7"/>
  <c r="S36" i="7"/>
  <c r="T36" i="7"/>
  <c r="T35" i="7"/>
  <c r="E28" i="6" s="1"/>
  <c r="S35" i="7"/>
  <c r="S105" i="7"/>
  <c r="T105" i="7"/>
  <c r="E80" i="6" s="1"/>
  <c r="S88" i="7"/>
  <c r="T88" i="7"/>
  <c r="S14" i="7"/>
  <c r="T14" i="7"/>
  <c r="S5" i="7"/>
  <c r="T5" i="7"/>
  <c r="S55" i="7"/>
  <c r="T55" i="7"/>
  <c r="E41" i="6" s="1"/>
  <c r="T45" i="7"/>
  <c r="S45" i="7"/>
  <c r="S34" i="7"/>
  <c r="T34" i="7"/>
  <c r="E27" i="6" s="1"/>
  <c r="T23" i="7"/>
  <c r="E19" i="6" s="1"/>
  <c r="S23" i="7"/>
  <c r="T13" i="7"/>
  <c r="S13" i="7"/>
  <c r="T28" i="7"/>
  <c r="E24" i="6" s="1"/>
  <c r="S28" i="7"/>
  <c r="S70" i="7"/>
  <c r="T70" i="7"/>
  <c r="E52" i="6" s="1"/>
  <c r="T80" i="7"/>
  <c r="S80" i="7"/>
  <c r="T9" i="7"/>
  <c r="E6" i="6" s="1"/>
  <c r="S9" i="7"/>
  <c r="T16" i="7"/>
  <c r="E14" i="6" s="1"/>
  <c r="F14" i="6" s="1"/>
  <c r="S16" i="7"/>
  <c r="T6" i="7"/>
  <c r="S6" i="7"/>
  <c r="S107" i="7"/>
  <c r="T107" i="7"/>
  <c r="E8" i="6" s="1"/>
  <c r="S87" i="7"/>
  <c r="T87" i="7"/>
  <c r="E68" i="6" s="1"/>
  <c r="T77" i="7"/>
  <c r="E61" i="6" s="1"/>
  <c r="S77" i="7"/>
  <c r="T65" i="7"/>
  <c r="E49" i="6" s="1"/>
  <c r="S65" i="7"/>
  <c r="T54" i="7"/>
  <c r="E40" i="6" s="1"/>
  <c r="S54" i="7"/>
  <c r="S44" i="7"/>
  <c r="T44" i="7"/>
  <c r="T95" i="7"/>
  <c r="E78" i="6" s="1"/>
  <c r="S95" i="7"/>
  <c r="T22" i="7"/>
  <c r="S22" i="7"/>
  <c r="T12" i="7"/>
  <c r="E10" i="6" s="1"/>
  <c r="S12" i="7"/>
  <c r="S71" i="7"/>
  <c r="T71" i="7"/>
  <c r="E54" i="6" s="1"/>
  <c r="T81" i="7"/>
  <c r="S81" i="7"/>
  <c r="S69" i="7"/>
  <c r="T69" i="7"/>
  <c r="E51" i="6" s="1"/>
  <c r="T47" i="7"/>
  <c r="S47" i="7"/>
  <c r="S78" i="7"/>
  <c r="T78" i="7"/>
  <c r="T103" i="7"/>
  <c r="E79" i="6" s="1"/>
  <c r="S103" i="7"/>
  <c r="S86" i="7"/>
  <c r="T86" i="7"/>
  <c r="S75" i="7"/>
  <c r="T75" i="7"/>
  <c r="E59" i="6" s="1"/>
  <c r="T64" i="7"/>
  <c r="E48" i="6" s="1"/>
  <c r="S64" i="7"/>
  <c r="T53" i="7"/>
  <c r="E39" i="6" s="1"/>
  <c r="S53" i="7"/>
  <c r="S43" i="7"/>
  <c r="T43" i="7"/>
  <c r="S33" i="7"/>
  <c r="T33" i="7"/>
  <c r="S21" i="7"/>
  <c r="T21" i="7"/>
  <c r="S11" i="7"/>
  <c r="T11" i="7"/>
  <c r="E73" i="6" s="1"/>
  <c r="S60" i="7"/>
  <c r="T60" i="7"/>
  <c r="S27" i="7"/>
  <c r="T27" i="7"/>
  <c r="E23" i="6" s="1"/>
  <c r="T58" i="7"/>
  <c r="S58" i="7"/>
  <c r="T68" i="7"/>
  <c r="E74" i="6" s="1"/>
  <c r="S68" i="7"/>
  <c r="S46" i="7"/>
  <c r="T46" i="7"/>
  <c r="T100" i="7"/>
  <c r="E62" i="6" s="1"/>
  <c r="S100" i="7"/>
  <c r="S85" i="7"/>
  <c r="T85" i="7"/>
  <c r="T74" i="7"/>
  <c r="E57" i="6" s="1"/>
  <c r="S74" i="7"/>
  <c r="T63" i="7"/>
  <c r="E47" i="6" s="1"/>
  <c r="S63" i="7"/>
  <c r="S52" i="7"/>
  <c r="T52" i="7"/>
  <c r="E38" i="6" s="1"/>
  <c r="T42" i="7"/>
  <c r="S42" i="7"/>
  <c r="S32" i="7"/>
  <c r="T32" i="7"/>
  <c r="T20" i="7"/>
  <c r="S20" i="7"/>
  <c r="T10" i="7"/>
  <c r="E9" i="6" s="1"/>
  <c r="S10" i="7"/>
  <c r="S8" i="7"/>
  <c r="T8" i="7"/>
  <c r="E58" i="6" s="1"/>
  <c r="S93" i="7"/>
  <c r="T93" i="7"/>
  <c r="E77" i="6" s="1"/>
  <c r="T59" i="7"/>
  <c r="S59" i="7"/>
  <c r="S17" i="7"/>
  <c r="T17" i="7"/>
  <c r="E15" i="6" s="1"/>
  <c r="S57" i="7"/>
  <c r="T57" i="7"/>
  <c r="T56" i="7"/>
  <c r="E42" i="6" s="1"/>
  <c r="S56" i="7"/>
  <c r="S104" i="7"/>
  <c r="T104" i="7"/>
  <c r="E81" i="6" s="1"/>
  <c r="T84" i="7"/>
  <c r="S84" i="7"/>
  <c r="S73" i="7"/>
  <c r="T73" i="7"/>
  <c r="E56" i="6" s="1"/>
  <c r="T62" i="7"/>
  <c r="E46" i="6" s="1"/>
  <c r="F46" i="6" s="1"/>
  <c r="S62" i="7"/>
  <c r="S51" i="7"/>
  <c r="T51" i="7"/>
  <c r="T41" i="7"/>
  <c r="S41" i="7"/>
  <c r="S31" i="7"/>
  <c r="T31" i="7"/>
  <c r="S94" i="7"/>
  <c r="T94" i="7"/>
  <c r="E76" i="6" s="1"/>
  <c r="T4" i="7"/>
  <c r="E7" i="6" s="1"/>
  <c r="S4" i="7"/>
  <c r="S96" i="7"/>
  <c r="T96" i="7"/>
  <c r="E75" i="6" s="1"/>
  <c r="F75" i="6" s="1"/>
  <c r="T67" i="7"/>
  <c r="S67" i="7"/>
  <c r="T66" i="7"/>
  <c r="S66" i="7"/>
  <c r="T79" i="7"/>
  <c r="S79" i="7"/>
  <c r="T106" i="7"/>
  <c r="S106" i="7"/>
  <c r="T15" i="7"/>
  <c r="E13" i="6" s="1"/>
  <c r="S15" i="7"/>
  <c r="T99" i="7"/>
  <c r="E50" i="6" s="1"/>
  <c r="S99" i="7"/>
  <c r="S3" i="7"/>
  <c r="T3" i="7"/>
  <c r="E66" i="6" s="1"/>
  <c r="T76" i="7"/>
  <c r="E60" i="6" s="1"/>
  <c r="S76" i="7"/>
  <c r="T61" i="7"/>
  <c r="S61" i="7"/>
  <c r="T50" i="7"/>
  <c r="S50" i="7"/>
  <c r="S40" i="7"/>
  <c r="T40" i="7"/>
  <c r="S30" i="7"/>
  <c r="T30" i="7"/>
  <c r="E26" i="6" s="1"/>
  <c r="T19" i="7"/>
  <c r="E17" i="6" s="1"/>
  <c r="S19" i="7"/>
  <c r="D9" i="6" l="1"/>
  <c r="F9" i="6" s="1"/>
  <c r="K9" i="6" s="1"/>
  <c r="F40" i="6"/>
  <c r="F19" i="6"/>
  <c r="F7" i="6"/>
  <c r="F71" i="6"/>
  <c r="F54" i="6"/>
  <c r="I54" i="6" s="1"/>
  <c r="D35" i="6"/>
  <c r="F20" i="6"/>
  <c r="D70" i="6"/>
  <c r="F70" i="6" s="1"/>
  <c r="D42" i="6"/>
  <c r="F42" i="6" s="1"/>
  <c r="D25" i="6"/>
  <c r="F25" i="6" s="1"/>
  <c r="F15" i="6"/>
  <c r="J15" i="6" s="1"/>
  <c r="D60" i="6"/>
  <c r="F60" i="6" s="1"/>
  <c r="D48" i="6"/>
  <c r="F48" i="6" s="1"/>
  <c r="D62" i="6"/>
  <c r="F62" i="6" s="1"/>
  <c r="F30" i="6"/>
  <c r="K30" i="6" s="1"/>
  <c r="D33" i="6"/>
  <c r="D66" i="6"/>
  <c r="F66" i="6" s="1"/>
  <c r="D81" i="6"/>
  <c r="F81" i="6" s="1"/>
  <c r="J81" i="6" s="1"/>
  <c r="D31" i="6"/>
  <c r="D32" i="6"/>
  <c r="D47" i="6"/>
  <c r="F47" i="6" s="1"/>
  <c r="I47" i="6" s="1"/>
  <c r="D55" i="6"/>
  <c r="F55" i="6" s="1"/>
  <c r="D11" i="6"/>
  <c r="D13" i="6"/>
  <c r="F13" i="6" s="1"/>
  <c r="D72" i="6"/>
  <c r="F72" i="6" s="1"/>
  <c r="F80" i="6"/>
  <c r="K80" i="6" s="1"/>
  <c r="D51" i="6"/>
  <c r="F51" i="6" s="1"/>
  <c r="D61" i="6"/>
  <c r="F61" i="6" s="1"/>
  <c r="K61" i="6" s="1"/>
  <c r="D59" i="6"/>
  <c r="F59" i="6" s="1"/>
  <c r="D52" i="6"/>
  <c r="F52" i="6" s="1"/>
  <c r="D22" i="6"/>
  <c r="F22" i="6" s="1"/>
  <c r="K22" i="6" s="1"/>
  <c r="D43" i="6"/>
  <c r="F65" i="6"/>
  <c r="D17" i="6"/>
  <c r="F17" i="6" s="1"/>
  <c r="D21" i="6"/>
  <c r="F21" i="6" s="1"/>
  <c r="D56" i="6"/>
  <c r="F56" i="6" s="1"/>
  <c r="D74" i="6"/>
  <c r="F74" i="6" s="1"/>
  <c r="D34" i="6"/>
  <c r="F49" i="6"/>
  <c r="K49" i="6" s="1"/>
  <c r="F76" i="6"/>
  <c r="J76" i="6" s="1"/>
  <c r="D23" i="6"/>
  <c r="F23" i="6" s="1"/>
  <c r="K23" i="6" s="1"/>
  <c r="F79" i="6"/>
  <c r="I79" i="6" s="1"/>
  <c r="F28" i="6"/>
  <c r="K28" i="6" s="1"/>
  <c r="D39" i="6"/>
  <c r="F39" i="6" s="1"/>
  <c r="F58" i="6"/>
  <c r="K58" i="6" s="1"/>
  <c r="F41" i="6"/>
  <c r="J41" i="6" s="1"/>
  <c r="D64" i="6"/>
  <c r="D50" i="6"/>
  <c r="F50" i="6" s="1"/>
  <c r="D12" i="6"/>
  <c r="D18" i="6"/>
  <c r="D37" i="6"/>
  <c r="D5" i="6"/>
  <c r="F5" i="6" s="1"/>
  <c r="I5" i="6" s="1"/>
  <c r="F73" i="6"/>
  <c r="K73" i="6" s="1"/>
  <c r="F77" i="6"/>
  <c r="J77" i="6" s="1"/>
  <c r="F53" i="6"/>
  <c r="K53" i="6" s="1"/>
  <c r="D16" i="6"/>
  <c r="F16" i="6" s="1"/>
  <c r="D8" i="6"/>
  <c r="F8" i="6" s="1"/>
  <c r="D10" i="6"/>
  <c r="F10" i="6" s="1"/>
  <c r="D67" i="6"/>
  <c r="F27" i="6"/>
  <c r="J27" i="6" s="1"/>
  <c r="D26" i="6"/>
  <c r="F26" i="6" s="1"/>
  <c r="D69" i="6"/>
  <c r="D68" i="6"/>
  <c r="F68" i="6" s="1"/>
  <c r="D38" i="6"/>
  <c r="F38" i="6" s="1"/>
  <c r="D6" i="6"/>
  <c r="F6" i="6" s="1"/>
  <c r="F57" i="6"/>
  <c r="J57" i="6" s="1"/>
  <c r="F78" i="6"/>
  <c r="K78" i="6" s="1"/>
  <c r="F24" i="6"/>
  <c r="J24" i="6" s="1"/>
  <c r="J75" i="6"/>
  <c r="I19" i="6"/>
  <c r="J14" i="6"/>
  <c r="I71" i="6"/>
  <c r="K46" i="6"/>
  <c r="D4" i="6"/>
  <c r="E69" i="6"/>
  <c r="E64" i="6"/>
  <c r="E34" i="6"/>
  <c r="E35" i="6"/>
  <c r="J36" i="6"/>
  <c r="I7" i="6"/>
  <c r="K82" i="6"/>
  <c r="I82" i="6"/>
  <c r="J82" i="6"/>
  <c r="J83" i="6"/>
  <c r="I83" i="6"/>
  <c r="K83" i="6"/>
  <c r="M83" i="6" s="1"/>
  <c r="E29" i="6"/>
  <c r="F29" i="6" s="1"/>
  <c r="E43" i="6"/>
  <c r="E44" i="6"/>
  <c r="F44" i="6" s="1"/>
  <c r="E32" i="6"/>
  <c r="E67" i="6"/>
  <c r="E63" i="6"/>
  <c r="F63" i="6" s="1"/>
  <c r="E31" i="6"/>
  <c r="E4" i="6"/>
  <c r="E37" i="6"/>
  <c r="E33" i="6"/>
  <c r="E12" i="6"/>
  <c r="E45" i="6"/>
  <c r="F45" i="6" s="1"/>
  <c r="E18" i="6"/>
  <c r="E11" i="6"/>
  <c r="F35" i="6" l="1"/>
  <c r="F69" i="6"/>
  <c r="J69" i="6" s="1"/>
  <c r="F32" i="6"/>
  <c r="K32" i="6" s="1"/>
  <c r="F43" i="6"/>
  <c r="F11" i="6"/>
  <c r="K11" i="6" s="1"/>
  <c r="F67" i="6"/>
  <c r="J67" i="6" s="1"/>
  <c r="F31" i="6"/>
  <c r="K31" i="6" s="1"/>
  <c r="M82" i="6"/>
  <c r="F12" i="6"/>
  <c r="J12" i="6" s="1"/>
  <c r="F33" i="6"/>
  <c r="K33" i="6" s="1"/>
  <c r="F37" i="6"/>
  <c r="I37" i="6" s="1"/>
  <c r="F34" i="6"/>
  <c r="J34" i="6" s="1"/>
  <c r="F18" i="6"/>
  <c r="J18" i="6" s="1"/>
  <c r="F64" i="6"/>
  <c r="K64" i="6" s="1"/>
  <c r="F4" i="6"/>
  <c r="K4" i="6" s="1"/>
  <c r="K75" i="6"/>
  <c r="I75" i="6"/>
  <c r="J63" i="6"/>
  <c r="J19" i="6"/>
  <c r="I50" i="6"/>
  <c r="J50" i="6"/>
  <c r="K50" i="6"/>
  <c r="I14" i="6"/>
  <c r="K14" i="6"/>
  <c r="K19" i="6"/>
  <c r="J49" i="6"/>
  <c r="I49" i="6"/>
  <c r="J78" i="6"/>
  <c r="I78" i="6"/>
  <c r="M78" i="6" s="1"/>
  <c r="J71" i="6"/>
  <c r="K71" i="6"/>
  <c r="I30" i="6"/>
  <c r="I46" i="6"/>
  <c r="J46" i="6"/>
  <c r="J79" i="6"/>
  <c r="I36" i="6"/>
  <c r="I35" i="6"/>
  <c r="K36" i="6"/>
  <c r="K54" i="6"/>
  <c r="J54" i="6"/>
  <c r="J45" i="6"/>
  <c r="J80" i="6"/>
  <c r="I53" i="6"/>
  <c r="J53" i="6"/>
  <c r="I77" i="6"/>
  <c r="I29" i="6"/>
  <c r="J73" i="6"/>
  <c r="I73" i="6"/>
  <c r="M73" i="6" s="1"/>
  <c r="J62" i="6"/>
  <c r="K62" i="6"/>
  <c r="J59" i="6"/>
  <c r="I59" i="6"/>
  <c r="K59" i="6"/>
  <c r="K70" i="6"/>
  <c r="J70" i="6"/>
  <c r="I70" i="6"/>
  <c r="J16" i="6"/>
  <c r="K16" i="6"/>
  <c r="I16" i="6"/>
  <c r="I10" i="6"/>
  <c r="K10" i="6"/>
  <c r="J10" i="6"/>
  <c r="K8" i="6"/>
  <c r="I8" i="6"/>
  <c r="J8" i="6"/>
  <c r="I15" i="6"/>
  <c r="J23" i="6"/>
  <c r="K15" i="6"/>
  <c r="I23" i="6"/>
  <c r="M23" i="6" s="1"/>
  <c r="I58" i="6"/>
  <c r="J58" i="6"/>
  <c r="J7" i="6"/>
  <c r="K7" i="6"/>
  <c r="K48" i="6"/>
  <c r="I48" i="6"/>
  <c r="J48" i="6"/>
  <c r="I38" i="6"/>
  <c r="J38" i="6"/>
  <c r="K38" i="6"/>
  <c r="K20" i="6"/>
  <c r="J20" i="6"/>
  <c r="I20" i="6"/>
  <c r="J74" i="6"/>
  <c r="K74" i="6"/>
  <c r="I74" i="6"/>
  <c r="K42" i="6"/>
  <c r="J42" i="6"/>
  <c r="I42" i="6"/>
  <c r="I21" i="6"/>
  <c r="K21" i="6"/>
  <c r="J21" i="6"/>
  <c r="I60" i="6"/>
  <c r="K60" i="6"/>
  <c r="J60" i="6"/>
  <c r="K27" i="6"/>
  <c r="I62" i="6"/>
  <c r="I27" i="6"/>
  <c r="K57" i="6"/>
  <c r="I28" i="6"/>
  <c r="J28" i="6"/>
  <c r="J30" i="6"/>
  <c r="I61" i="6"/>
  <c r="I24" i="6"/>
  <c r="J61" i="6"/>
  <c r="K77" i="6"/>
  <c r="I41" i="6"/>
  <c r="K24" i="6"/>
  <c r="K41" i="6"/>
  <c r="K79" i="6"/>
  <c r="K55" i="6"/>
  <c r="I55" i="6"/>
  <c r="J55" i="6"/>
  <c r="I17" i="6"/>
  <c r="J17" i="6"/>
  <c r="K17" i="6"/>
  <c r="I72" i="6"/>
  <c r="J72" i="6"/>
  <c r="K72" i="6"/>
  <c r="J13" i="6"/>
  <c r="I13" i="6"/>
  <c r="K13" i="6"/>
  <c r="J52" i="6"/>
  <c r="I52" i="6"/>
  <c r="K52" i="6"/>
  <c r="J39" i="6"/>
  <c r="K39" i="6"/>
  <c r="I39" i="6"/>
  <c r="I6" i="6"/>
  <c r="J6" i="6"/>
  <c r="K6" i="6"/>
  <c r="I68" i="6"/>
  <c r="K68" i="6"/>
  <c r="J68" i="6"/>
  <c r="I65" i="6"/>
  <c r="J65" i="6"/>
  <c r="K65" i="6"/>
  <c r="K51" i="6"/>
  <c r="J51" i="6"/>
  <c r="I51" i="6"/>
  <c r="K66" i="6"/>
  <c r="I66" i="6"/>
  <c r="J66" i="6"/>
  <c r="I40" i="6"/>
  <c r="J40" i="6"/>
  <c r="K40" i="6"/>
  <c r="J26" i="6"/>
  <c r="K26" i="6"/>
  <c r="I26" i="6"/>
  <c r="I56" i="6"/>
  <c r="K56" i="6"/>
  <c r="J56" i="6"/>
  <c r="J25" i="6"/>
  <c r="C37" i="8" s="1"/>
  <c r="K25" i="6"/>
  <c r="I25" i="6"/>
  <c r="C36" i="8" s="1"/>
  <c r="I22" i="6"/>
  <c r="J9" i="6"/>
  <c r="K47" i="6"/>
  <c r="J22" i="6"/>
  <c r="L82" i="6"/>
  <c r="I9" i="6"/>
  <c r="I57" i="6"/>
  <c r="J47" i="6"/>
  <c r="I81" i="6"/>
  <c r="K5" i="6"/>
  <c r="J5" i="6"/>
  <c r="K81" i="6"/>
  <c r="I80" i="6"/>
  <c r="L83" i="6"/>
  <c r="I76" i="6"/>
  <c r="K76" i="6"/>
  <c r="J44" i="6"/>
  <c r="K44" i="6"/>
  <c r="I44" i="6"/>
  <c r="M17" i="6" l="1"/>
  <c r="M13" i="6"/>
  <c r="M40" i="6"/>
  <c r="M14" i="6"/>
  <c r="M9" i="6"/>
  <c r="M65" i="6"/>
  <c r="M52" i="6"/>
  <c r="M71" i="6"/>
  <c r="M80" i="6"/>
  <c r="M30" i="6"/>
  <c r="M76" i="6"/>
  <c r="M58" i="6"/>
  <c r="M10" i="6"/>
  <c r="M53" i="6"/>
  <c r="M49" i="6"/>
  <c r="M46" i="6"/>
  <c r="M61" i="6"/>
  <c r="M38" i="6"/>
  <c r="M28" i="6"/>
  <c r="M22" i="6"/>
  <c r="M24" i="6"/>
  <c r="M36" i="6"/>
  <c r="M5" i="6"/>
  <c r="M27" i="6"/>
  <c r="M8" i="6"/>
  <c r="M66" i="6"/>
  <c r="M77" i="6"/>
  <c r="M19" i="6"/>
  <c r="M15" i="6"/>
  <c r="M39" i="6"/>
  <c r="M60" i="6"/>
  <c r="M51" i="6"/>
  <c r="M21" i="6"/>
  <c r="M56" i="6"/>
  <c r="M26" i="6"/>
  <c r="M47" i="6"/>
  <c r="M70" i="6"/>
  <c r="M59" i="6"/>
  <c r="M44" i="6"/>
  <c r="M75" i="6"/>
  <c r="M20" i="6"/>
  <c r="M16" i="6"/>
  <c r="M55" i="6"/>
  <c r="M68" i="6"/>
  <c r="M79" i="6"/>
  <c r="M50" i="6"/>
  <c r="M41" i="6"/>
  <c r="M57" i="6"/>
  <c r="M42" i="6"/>
  <c r="M48" i="6"/>
  <c r="M81" i="6"/>
  <c r="M72" i="6"/>
  <c r="M7" i="6"/>
  <c r="M6" i="6"/>
  <c r="M25" i="6"/>
  <c r="C41" i="8" s="1"/>
  <c r="C38" i="8"/>
  <c r="C46" i="8"/>
  <c r="M74" i="6"/>
  <c r="M62" i="6"/>
  <c r="M54" i="6"/>
  <c r="L75" i="6"/>
  <c r="T75" i="6" s="1"/>
  <c r="I63" i="6"/>
  <c r="K63" i="6"/>
  <c r="L19" i="6"/>
  <c r="T19" i="6" s="1"/>
  <c r="L50" i="6"/>
  <c r="T50" i="6" s="1"/>
  <c r="L14" i="6"/>
  <c r="T14" i="6" s="1"/>
  <c r="L49" i="6"/>
  <c r="T49" i="6" s="1"/>
  <c r="L36" i="6"/>
  <c r="T36" i="6" s="1"/>
  <c r="J4" i="6"/>
  <c r="I4" i="6"/>
  <c r="L54" i="6"/>
  <c r="T54" i="6" s="1"/>
  <c r="L78" i="6"/>
  <c r="T78" i="6" s="1"/>
  <c r="K35" i="6"/>
  <c r="K69" i="6"/>
  <c r="L71" i="6"/>
  <c r="T71" i="6" s="1"/>
  <c r="J64" i="6"/>
  <c r="I64" i="6"/>
  <c r="I69" i="6"/>
  <c r="J35" i="6"/>
  <c r="L30" i="6"/>
  <c r="T30" i="6" s="1"/>
  <c r="I33" i="6"/>
  <c r="L46" i="6"/>
  <c r="T46" i="6" s="1"/>
  <c r="I34" i="6"/>
  <c r="K34" i="6"/>
  <c r="K45" i="6"/>
  <c r="I45" i="6"/>
  <c r="L23" i="6"/>
  <c r="T23" i="6" s="1"/>
  <c r="L79" i="6"/>
  <c r="T79" i="6" s="1"/>
  <c r="K12" i="6"/>
  <c r="I12" i="6"/>
  <c r="L73" i="6"/>
  <c r="L65" i="6"/>
  <c r="L77" i="6"/>
  <c r="T77" i="6" s="1"/>
  <c r="L8" i="6"/>
  <c r="T8" i="6" s="1"/>
  <c r="L53" i="6"/>
  <c r="T53" i="6" s="1"/>
  <c r="L41" i="6"/>
  <c r="L27" i="6"/>
  <c r="T27" i="6" s="1"/>
  <c r="L74" i="6"/>
  <c r="L28" i="6"/>
  <c r="K29" i="6"/>
  <c r="I31" i="6"/>
  <c r="L9" i="6"/>
  <c r="T9" i="6" s="1"/>
  <c r="L62" i="6"/>
  <c r="T62" i="6" s="1"/>
  <c r="J32" i="6"/>
  <c r="L80" i="6"/>
  <c r="T80" i="6" s="1"/>
  <c r="L7" i="6"/>
  <c r="T7" i="6" s="1"/>
  <c r="L10" i="6"/>
  <c r="L59" i="6"/>
  <c r="L57" i="6"/>
  <c r="J33" i="6"/>
  <c r="L70" i="6"/>
  <c r="T70" i="6" s="1"/>
  <c r="L40" i="6"/>
  <c r="L17" i="6"/>
  <c r="T17" i="6" s="1"/>
  <c r="L60" i="6"/>
  <c r="L58" i="6"/>
  <c r="L61" i="6"/>
  <c r="L38" i="6"/>
  <c r="T38" i="6" s="1"/>
  <c r="J29" i="6"/>
  <c r="L16" i="6"/>
  <c r="L5" i="6"/>
  <c r="L55" i="6"/>
  <c r="T55" i="6" s="1"/>
  <c r="J31" i="6"/>
  <c r="L13" i="6"/>
  <c r="T13" i="6" s="1"/>
  <c r="L42" i="6"/>
  <c r="T42" i="6" s="1"/>
  <c r="L48" i="6"/>
  <c r="T48" i="6" s="1"/>
  <c r="L15" i="6"/>
  <c r="T15" i="6" s="1"/>
  <c r="L25" i="6"/>
  <c r="C39" i="8" s="1"/>
  <c r="L52" i="6"/>
  <c r="L76" i="6"/>
  <c r="L24" i="6"/>
  <c r="T24" i="6" s="1"/>
  <c r="L21" i="6"/>
  <c r="T21" i="6" s="1"/>
  <c r="L39" i="6"/>
  <c r="L20" i="6"/>
  <c r="T20" i="6" s="1"/>
  <c r="I32" i="6"/>
  <c r="L81" i="6"/>
  <c r="L6" i="6"/>
  <c r="L72" i="6"/>
  <c r="K18" i="6"/>
  <c r="K37" i="6"/>
  <c r="L66" i="6"/>
  <c r="T66" i="6" s="1"/>
  <c r="I18" i="6"/>
  <c r="J37" i="6"/>
  <c r="L47" i="6"/>
  <c r="T47" i="6" s="1"/>
  <c r="K43" i="6"/>
  <c r="J43" i="6"/>
  <c r="I43" i="6"/>
  <c r="L44" i="6"/>
  <c r="L56" i="6"/>
  <c r="L68" i="6"/>
  <c r="L26" i="6"/>
  <c r="L51" i="6"/>
  <c r="I11" i="6"/>
  <c r="T82" i="6"/>
  <c r="J11" i="6"/>
  <c r="I67" i="6"/>
  <c r="L22" i="6"/>
  <c r="K67" i="6"/>
  <c r="T83" i="6"/>
  <c r="M64" i="6" l="1"/>
  <c r="M63" i="6"/>
  <c r="M31" i="6"/>
  <c r="M4" i="6"/>
  <c r="M32" i="6"/>
  <c r="M11" i="6"/>
  <c r="M45" i="6"/>
  <c r="M43" i="6"/>
  <c r="M34" i="6"/>
  <c r="M33" i="6"/>
  <c r="J2" i="6"/>
  <c r="M12" i="6"/>
  <c r="M37" i="6"/>
  <c r="M29" i="6"/>
  <c r="M69" i="6"/>
  <c r="I2" i="6"/>
  <c r="M18" i="6"/>
  <c r="M67" i="6"/>
  <c r="M35" i="6"/>
  <c r="K2" i="6"/>
  <c r="L63" i="6"/>
  <c r="T63" i="6" s="1"/>
  <c r="L4" i="6"/>
  <c r="L34" i="6"/>
  <c r="T34" i="6" s="1"/>
  <c r="L69" i="6"/>
  <c r="T69" i="6" s="1"/>
  <c r="L64" i="6"/>
  <c r="T64" i="6" s="1"/>
  <c r="L35" i="6"/>
  <c r="T35" i="6" s="1"/>
  <c r="L33" i="6"/>
  <c r="T33" i="6" s="1"/>
  <c r="L45" i="6"/>
  <c r="T45" i="6" s="1"/>
  <c r="T73" i="6"/>
  <c r="T65" i="6"/>
  <c r="T41" i="6"/>
  <c r="L12" i="6"/>
  <c r="T10" i="6"/>
  <c r="T74" i="6"/>
  <c r="L31" i="6"/>
  <c r="T52" i="6"/>
  <c r="T28" i="6"/>
  <c r="T76" i="6"/>
  <c r="L29" i="6"/>
  <c r="T61" i="6"/>
  <c r="T16" i="6"/>
  <c r="T59" i="6"/>
  <c r="T60" i="6"/>
  <c r="L32" i="6"/>
  <c r="T32" i="6" s="1"/>
  <c r="T57" i="6"/>
  <c r="T40" i="6"/>
  <c r="T5" i="6"/>
  <c r="T58" i="6"/>
  <c r="T25" i="6"/>
  <c r="T39" i="6"/>
  <c r="L37" i="6"/>
  <c r="L67" i="6"/>
  <c r="T67" i="6" s="1"/>
  <c r="L43" i="6"/>
  <c r="T43" i="6" s="1"/>
  <c r="L18" i="6"/>
  <c r="T81" i="6"/>
  <c r="T6" i="6"/>
  <c r="L11" i="6"/>
  <c r="T72" i="6"/>
  <c r="T51" i="6"/>
  <c r="T26" i="6"/>
  <c r="T68" i="6"/>
  <c r="T22" i="6"/>
  <c r="T56" i="6"/>
  <c r="T44" i="6"/>
  <c r="D41" i="8"/>
  <c r="M2" i="6" l="1"/>
  <c r="T4" i="6"/>
  <c r="L2" i="6"/>
  <c r="T31" i="6"/>
  <c r="T12" i="6"/>
  <c r="T29" i="6"/>
  <c r="T37" i="6"/>
  <c r="T11" i="6"/>
  <c r="T18" i="6"/>
  <c r="V39" i="6" l="1"/>
  <c r="V9" i="6" l="1"/>
  <c r="U84" i="6" l="1"/>
  <c r="V84" i="6" s="1"/>
  <c r="U83" i="6" l="1"/>
  <c r="V83" i="6" s="1"/>
  <c r="U30" i="6" l="1"/>
  <c r="V30" i="6" s="1"/>
  <c r="U53" i="6"/>
  <c r="V53" i="6" s="1"/>
  <c r="U21" i="6"/>
  <c r="V21" i="6" s="1"/>
  <c r="U47" i="6"/>
  <c r="V47" i="6" s="1"/>
  <c r="U36" i="6"/>
  <c r="V36" i="6" s="1"/>
  <c r="U8" i="6"/>
  <c r="V8" i="6" s="1"/>
  <c r="U54" i="6"/>
  <c r="V54" i="6" s="1"/>
  <c r="U52" i="6"/>
  <c r="V52" i="6" s="1"/>
  <c r="U57" i="6"/>
  <c r="V57" i="6" s="1"/>
  <c r="U15" i="6"/>
  <c r="V15" i="6" s="1"/>
  <c r="U28" i="6"/>
  <c r="V28" i="6" s="1"/>
  <c r="U60" i="6"/>
  <c r="V60" i="6" s="1"/>
  <c r="U68" i="6"/>
  <c r="V68" i="6" s="1"/>
  <c r="U72" i="6"/>
  <c r="V72" i="6" s="1"/>
  <c r="U7" i="6"/>
  <c r="V7" i="6" s="1"/>
  <c r="U56" i="6" l="1"/>
  <c r="V56" i="6" s="1"/>
  <c r="U13" i="6"/>
  <c r="V13" i="6" s="1"/>
  <c r="U61" i="6"/>
  <c r="V61" i="6" s="1"/>
  <c r="U50" i="6"/>
  <c r="V50" i="6" s="1"/>
  <c r="U48" i="6"/>
  <c r="V48" i="6" s="1"/>
  <c r="U51" i="6"/>
  <c r="V51" i="6" s="1"/>
  <c r="U6" i="6"/>
  <c r="V6" i="6" s="1"/>
  <c r="U71" i="6"/>
  <c r="V71" i="6" s="1"/>
  <c r="U76" i="6"/>
  <c r="V76" i="6" s="1"/>
  <c r="U62" i="6"/>
  <c r="V62" i="6" s="1"/>
  <c r="U82" i="6"/>
  <c r="V82" i="6" s="1"/>
  <c r="U75" i="6"/>
  <c r="V75" i="6" s="1"/>
  <c r="U73" i="6"/>
  <c r="V73" i="6" s="1"/>
  <c r="U14" i="6"/>
  <c r="V14" i="6" s="1"/>
  <c r="U77" i="6"/>
  <c r="V77" i="6" s="1"/>
  <c r="U12" i="6"/>
  <c r="V12" i="6" s="1"/>
  <c r="U81" i="6"/>
  <c r="V81" i="6" s="1"/>
  <c r="U38" i="6"/>
  <c r="V38" i="6" s="1"/>
  <c r="U24" i="6"/>
  <c r="V24" i="6" s="1"/>
  <c r="U16" i="6"/>
  <c r="V16" i="6" s="1"/>
  <c r="U25" i="6"/>
  <c r="V25" i="6" s="1"/>
  <c r="U22" i="6"/>
  <c r="V22" i="6" s="1"/>
  <c r="U49" i="6"/>
  <c r="V49" i="6" s="1"/>
  <c r="U78" i="6"/>
  <c r="V78" i="6" s="1"/>
  <c r="U42" i="6"/>
  <c r="V42" i="6" s="1"/>
  <c r="U59" i="6"/>
  <c r="V59" i="6" s="1"/>
  <c r="U5" i="6"/>
  <c r="V5" i="6" s="1"/>
  <c r="U70" i="6"/>
  <c r="V70" i="6" s="1"/>
  <c r="U67" i="6"/>
  <c r="V67" i="6" s="1"/>
  <c r="U65" i="6"/>
  <c r="V65" i="6" s="1"/>
  <c r="U35" i="6"/>
  <c r="V35" i="6" s="1"/>
  <c r="U64" i="6"/>
  <c r="V64" i="6" s="1"/>
  <c r="U32" i="6"/>
  <c r="V32" i="6" s="1"/>
  <c r="U17" i="6" l="1"/>
  <c r="V17" i="6" s="1"/>
  <c r="U34" i="6"/>
  <c r="V34" i="6" s="1"/>
  <c r="U31" i="6"/>
  <c r="V31" i="6" s="1"/>
  <c r="U10" i="6"/>
  <c r="V10" i="6" s="1"/>
  <c r="U19" i="6"/>
  <c r="V19" i="6" s="1"/>
  <c r="U80" i="6"/>
  <c r="V80" i="6" s="1"/>
  <c r="U41" i="6"/>
  <c r="V41" i="6" s="1"/>
  <c r="U46" i="6"/>
  <c r="V46" i="6" s="1"/>
  <c r="U79" i="6"/>
  <c r="V79" i="6" s="1"/>
  <c r="U45" i="6"/>
  <c r="V45" i="6" s="1"/>
  <c r="U27" i="6"/>
  <c r="V27" i="6" s="1"/>
  <c r="U74" i="6"/>
  <c r="V74" i="6" s="1"/>
  <c r="U58" i="6"/>
  <c r="V58" i="6" s="1"/>
  <c r="U18" i="6"/>
  <c r="V18" i="6" s="1"/>
  <c r="U63" i="6"/>
  <c r="V63" i="6" s="1"/>
  <c r="U23" i="6"/>
  <c r="V23" i="6" s="1"/>
  <c r="U33" i="6"/>
  <c r="V33" i="6" s="1"/>
  <c r="U44" i="6"/>
  <c r="V44" i="6" s="1"/>
  <c r="U66" i="6"/>
  <c r="V66" i="6" s="1"/>
  <c r="U26" i="6"/>
  <c r="V26" i="6" s="1"/>
  <c r="U43" i="6"/>
  <c r="V43" i="6" s="1"/>
  <c r="U69" i="6"/>
  <c r="V69" i="6" s="1"/>
  <c r="U40" i="6"/>
  <c r="V40" i="6" s="1"/>
  <c r="U37" i="6"/>
  <c r="V37" i="6" s="1"/>
  <c r="U4" i="6"/>
  <c r="V4" i="6" s="1"/>
  <c r="U11" i="6"/>
  <c r="V11" i="6" s="1"/>
  <c r="U29" i="6"/>
  <c r="V29" i="6" s="1"/>
  <c r="U20" i="6"/>
  <c r="V20" i="6" s="1"/>
  <c r="U55" i="6"/>
  <c r="V5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tc={EC19B4B4-F991-48EA-BCC0-1126FA889120}</author>
    <author>tc={A24E571A-8E3F-484A-9B02-62720CF625FB}</author>
    <author>tc={D6395088-A7A7-4F46-8371-47E8F3A044F3}</author>
  </authors>
  <commentList>
    <comment ref="C13" authorId="0" shapeId="0" xr:uid="{7772DB21-D971-4382-8F5E-EEA233CDA49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Aura Motors. Please do not change the dealer name in main sheet as it will impact formula. Linked with Investor level report.</t>
        </r>
      </text>
    </comment>
    <comment ref="C14" authorId="0" shapeId="0" xr:uid="{84CD0452-7300-4D77-8811-A971A3E115A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Aura Motors. Please do not change the dealer name in main sheet as it will impact formula. Linked with Investor level report.</t>
        </r>
      </text>
    </comment>
    <comment ref="C18" authorId="0" shapeId="0" xr:uid="{198D95EC-5949-4A16-8317-CFB033B3F44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BLC Auto. Please do not change the dealer name in main sheet as it will impact formula..</t>
        </r>
      </text>
    </comment>
    <comment ref="C19" authorId="0" shapeId="0" xr:uid="{C28443B5-74B1-4F5B-853B-2297A8D07EC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BLC Auto. Please do not change the dealer name in main sheet as it will impact formula..</t>
        </r>
      </text>
    </comment>
    <comment ref="C20" authorId="0" shapeId="0" xr:uid="{79D2514F-06F7-40A8-968F-4797A4F5850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BLC Auto. Please do not change the dealer name in main sheet as it will impact formula..</t>
        </r>
      </text>
    </comment>
    <comment ref="C21" authorId="0" shapeId="0" xr:uid="{AEA02756-DAA1-442E-8D3A-E0AD877839D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BLC Auto. Please do not change the dealer name in main sheet as it will impact formula..</t>
        </r>
      </text>
    </comment>
    <comment ref="C22" authorId="0" shapeId="0" xr:uid="{A22DF34F-C66A-4E2B-BC24-776BC6AC3E4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BLC Auto. Please do not change the dealer name in main sheet as it will impact formula..</t>
        </r>
      </text>
    </comment>
    <comment ref="C23" authorId="0" shapeId="0" xr:uid="{A0D7E451-B08B-4B7F-87F7-A66CCE0CC96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BLC Auto. Please do not change the dealer name in main sheet as it will impact formula..</t>
        </r>
      </text>
    </comment>
    <comment ref="D138" authorId="1" shapeId="0" xr:uid="{EC19B4B4-F991-48EA-BCC0-1126FA889120}">
      <text>
        <t>[Threaded comment]
Your version of Excel allows you to read this threaded comment; however, any edits to it will get removed if the file is opened in a newer version of Excel. Learn more: https://go.microsoft.com/fwlink/?linkid=870924
Comment:
    KVPS updated as per new dealer panel (Old KVPS 2014102A)</t>
      </text>
    </comment>
    <comment ref="C238" authorId="0" shapeId="0" xr:uid="{CFCB2CD2-7383-4DDA-97A7-B95A063D00D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BLC Auto. Please do not change the dealer name in main sheet as it will impact formula..</t>
        </r>
      </text>
    </comment>
    <comment ref="D243" authorId="2" shapeId="0" xr:uid="{A24E571A-8E3F-484A-9B02-62720CF625FB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KVPS code updated as per new dealer panel (Old KVPS 1041001C)</t>
      </text>
    </comment>
    <comment ref="D244" authorId="3" shapeId="0" xr:uid="{D6395088-A7A7-4F46-8371-47E8F3A044F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KVPS updated as per new dealer panel (Old KVPS 1034302C)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10" authorId="0" shapeId="0" xr:uid="{751E0E17-1C16-4A08-AA25-DE195CA3E32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Aura Motors. Please do not change the dealer name in main sheet as it will impact formula. Linked with Investor level report.</t>
        </r>
      </text>
    </comment>
    <comment ref="C14" authorId="0" shapeId="0" xr:uid="{A1B98E63-C6C3-4626-9B09-3E253CF6BEE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BLC Auto. Please do not change the dealer name in main sheet as it will impact formula..</t>
        </r>
      </text>
    </comment>
    <comment ref="C78" authorId="0" shapeId="0" xr:uid="{5FEEEB2D-330B-47C1-B8FE-4BB91D58029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BLC Auto. Please do not change the dealer name in main sheet as it will impact formula..</t>
        </r>
      </text>
    </comment>
  </commentList>
</comments>
</file>

<file path=xl/sharedStrings.xml><?xml version="1.0" encoding="utf-8"?>
<sst xmlns="http://schemas.openxmlformats.org/spreadsheetml/2006/main" count="4855" uniqueCount="1105">
  <si>
    <t>Investor Name</t>
  </si>
  <si>
    <t>(Regent) Tejpal Motors Pvt. Ltd.</t>
  </si>
  <si>
    <t xml:space="preserve">(Trinity) Durgesh Motors Pvt. Ltd. </t>
  </si>
  <si>
    <t>Akoya Motors Pvt Ltd</t>
  </si>
  <si>
    <t>Ananya Sales Pvt Ltd</t>
  </si>
  <si>
    <t xml:space="preserve">Aura Motors Pvt. Ltd + Maverick Motors </t>
  </si>
  <si>
    <t>Avya Automobiles Pvt. Ltd.</t>
  </si>
  <si>
    <t>Berk Autozone LLP</t>
  </si>
  <si>
    <t>BLC Autosales Pvt Ltd+Sidak Automobiles</t>
  </si>
  <si>
    <t>Brite Auto Wheels Private Limited</t>
  </si>
  <si>
    <t>Commercial Automotives Pvt Ltd</t>
  </si>
  <si>
    <t>DDPM Automobiles LLP</t>
  </si>
  <si>
    <t>Dev Bhoomi Motors Pvt. Ltd</t>
  </si>
  <si>
    <t>Eminent Motocorp Pvt. Ltd.</t>
  </si>
  <si>
    <t>Emporium Automobile Pvt. Ltd.</t>
  </si>
  <si>
    <t>EVM Motors &amp; Vehicles India Pvt Ltd</t>
  </si>
  <si>
    <t>Excel Cars Pvt. Ltd.</t>
  </si>
  <si>
    <t xml:space="preserve">Fatehpuria Motocorp Pvt Ltd </t>
  </si>
  <si>
    <t>Frontier Cars India Pvt Ltd</t>
  </si>
  <si>
    <t>Garnet Motors (D) Pvt. Ltd.</t>
  </si>
  <si>
    <t>Garve Car Mania Pvt Ltd</t>
  </si>
  <si>
    <t>Gem Phoenix Auto Pvt Ltd</t>
  </si>
  <si>
    <t>Global Motocorp LLP</t>
  </si>
  <si>
    <t>Gurudev Motors Pvt. Ltd</t>
  </si>
  <si>
    <t>HD Autowheels Pvt. Ltd.</t>
  </si>
  <si>
    <t xml:space="preserve">Imperial 3S Jamshedpur </t>
  </si>
  <si>
    <t>Jagdish Motocorp Pvt. Ltd.</t>
  </si>
  <si>
    <t>Jai Auto Vehicles Pvt Ltd</t>
  </si>
  <si>
    <t>K Cube Motors LLP</t>
  </si>
  <si>
    <t xml:space="preserve">Krishna Auto Sales </t>
  </si>
  <si>
    <t>Kun Motor Enterprises Pvt Ltd</t>
  </si>
  <si>
    <t>MM Auto Sales Pvt Ltd.</t>
  </si>
  <si>
    <t>Moharir Motors Pvt. Ltd</t>
  </si>
  <si>
    <t>Pal Prateek Automobile LLP</t>
  </si>
  <si>
    <t>Patni Autoventures LLP</t>
  </si>
  <si>
    <t>Prem Garages Pvt. Ltd</t>
  </si>
  <si>
    <t>Presidency Cars Pvt. Ltd.</t>
  </si>
  <si>
    <t>Raja Ganesh Motors</t>
  </si>
  <si>
    <t>Raja Motors Corporation</t>
  </si>
  <si>
    <t>S7 Cars India Pvt. Ltd</t>
  </si>
  <si>
    <t>Saisha Motors Pvt Ltd</t>
  </si>
  <si>
    <t>Sarra Motors</t>
  </si>
  <si>
    <t>Satguru Motors</t>
  </si>
  <si>
    <t xml:space="preserve">SGA Cars India Pvt Ltd </t>
  </si>
  <si>
    <t>Shanta Motors Pvt. Ltd.</t>
  </si>
  <si>
    <t xml:space="preserve">Shekhawati Electronics Pvt Ltd </t>
  </si>
  <si>
    <t>Shreenathji Automobiles Pvt Ltd</t>
  </si>
  <si>
    <t>ShriBalaji AutoAgency Mysore Pvt. Ltd</t>
  </si>
  <si>
    <t>Shrine Auto Pvt. Ltd.</t>
  </si>
  <si>
    <t>Singhania Motors Pvt Ltd</t>
  </si>
  <si>
    <t>Speed Automotive Pvt. Ltd.</t>
  </si>
  <si>
    <t>Speedworks Auto Private Limited</t>
  </si>
  <si>
    <t>SSB Automobiles Pvt Ltd</t>
  </si>
  <si>
    <t>Stellar Autohaus Pvt ltd  </t>
  </si>
  <si>
    <t xml:space="preserve">SV Autowheels LLP </t>
  </si>
  <si>
    <t xml:space="preserve">Tafe Access Limited </t>
  </si>
  <si>
    <t>United Wheels</t>
  </si>
  <si>
    <t>Utsav India Cars LLP</t>
  </si>
  <si>
    <t>Mahavir Auto  Diagnostics Pvt. Ltd_AP</t>
  </si>
  <si>
    <t>Mahavir Auto  Diagnostics Pvt. Ltd_TL</t>
  </si>
  <si>
    <t>Mody India Cars Pvt Ltd_MH</t>
  </si>
  <si>
    <t>Mody India Cars Pvt Ltd_TL</t>
  </si>
  <si>
    <t>PPS Motors Pvt Ltd_AP</t>
  </si>
  <si>
    <t>PPS Motors Pvt Ltd_KA</t>
  </si>
  <si>
    <t>PPS Motors Pvt Ltd_Kerala</t>
  </si>
  <si>
    <t>PPS Motors Pvt Ltd_TL</t>
  </si>
  <si>
    <t>Automovers Auto Industry Pvt. Ltd.</t>
  </si>
  <si>
    <t>RN Mobility Pvt. Ltd.</t>
  </si>
  <si>
    <t>Empreo Allied Pvt. Ltd.</t>
  </si>
  <si>
    <t>Kanal Vehicles LLP</t>
  </si>
  <si>
    <t>Password</t>
  </si>
  <si>
    <t>Investor</t>
  </si>
  <si>
    <t>KVPSCode</t>
  </si>
  <si>
    <t>1038001A</t>
  </si>
  <si>
    <t>1029602A</t>
  </si>
  <si>
    <t>1029601A</t>
  </si>
  <si>
    <t>1030201A</t>
  </si>
  <si>
    <t>1030202A</t>
  </si>
  <si>
    <t>1021101C</t>
  </si>
  <si>
    <t>2036501C</t>
  </si>
  <si>
    <t>1028801C</t>
  </si>
  <si>
    <t>1028802C</t>
  </si>
  <si>
    <t>1010001C</t>
  </si>
  <si>
    <t>1010002C</t>
  </si>
  <si>
    <t>2033003C</t>
  </si>
  <si>
    <t>2033001C</t>
  </si>
  <si>
    <t>2033002C</t>
  </si>
  <si>
    <t>1036701C</t>
  </si>
  <si>
    <t>1020201C</t>
  </si>
  <si>
    <t>1037402C</t>
  </si>
  <si>
    <t>1030101A</t>
  </si>
  <si>
    <t>1032801A</t>
  </si>
  <si>
    <t>1034001A</t>
  </si>
  <si>
    <t>1032802A</t>
  </si>
  <si>
    <t>1032803A</t>
  </si>
  <si>
    <t>2034003C</t>
  </si>
  <si>
    <t>1035601A</t>
  </si>
  <si>
    <t>1034101A</t>
  </si>
  <si>
    <t>1039901A</t>
  </si>
  <si>
    <t>1032201A</t>
  </si>
  <si>
    <t>1032202A</t>
  </si>
  <si>
    <t>1032203A</t>
  </si>
  <si>
    <t>2036601C</t>
  </si>
  <si>
    <t>1036602A</t>
  </si>
  <si>
    <t>2036603C</t>
  </si>
  <si>
    <t>1029401A</t>
  </si>
  <si>
    <t>1029403A</t>
  </si>
  <si>
    <t>1029402A</t>
  </si>
  <si>
    <t>2029404C</t>
  </si>
  <si>
    <t>1011801C</t>
  </si>
  <si>
    <t>2303901A</t>
  </si>
  <si>
    <t>2003901A</t>
  </si>
  <si>
    <t>1035501C</t>
  </si>
  <si>
    <t>1028101A</t>
  </si>
  <si>
    <t>2027701A</t>
  </si>
  <si>
    <t>1035401A</t>
  </si>
  <si>
    <t>2035402C</t>
  </si>
  <si>
    <t>1035403A</t>
  </si>
  <si>
    <t>2601202C</t>
  </si>
  <si>
    <t>2201203C</t>
  </si>
  <si>
    <t>2601204C</t>
  </si>
  <si>
    <t>1001201A</t>
  </si>
  <si>
    <t>1001202A</t>
  </si>
  <si>
    <t>1035701A</t>
  </si>
  <si>
    <t>2036801C</t>
  </si>
  <si>
    <t>2036802C</t>
  </si>
  <si>
    <t>1037001C</t>
  </si>
  <si>
    <t>1037002C</t>
  </si>
  <si>
    <t>1038701A</t>
  </si>
  <si>
    <t>1037801A</t>
  </si>
  <si>
    <t>2037802C</t>
  </si>
  <si>
    <t>2037101C</t>
  </si>
  <si>
    <t>2037102C</t>
  </si>
  <si>
    <t>2033901C</t>
  </si>
  <si>
    <t>2033903C</t>
  </si>
  <si>
    <t>2033904C</t>
  </si>
  <si>
    <t>2033902C</t>
  </si>
  <si>
    <t>1034701A</t>
  </si>
  <si>
    <t>1033905A</t>
  </si>
  <si>
    <t>1035001A</t>
  </si>
  <si>
    <t>2035003C</t>
  </si>
  <si>
    <t>1035004A</t>
  </si>
  <si>
    <t>1035005A</t>
  </si>
  <si>
    <t>1034901C</t>
  </si>
  <si>
    <t>1034902C</t>
  </si>
  <si>
    <t>1035102A</t>
  </si>
  <si>
    <t>1035101A</t>
  </si>
  <si>
    <t>1039001C</t>
  </si>
  <si>
    <t>1014101C</t>
  </si>
  <si>
    <t>1014102C</t>
  </si>
  <si>
    <t>2029001C</t>
  </si>
  <si>
    <t>1029003A</t>
  </si>
  <si>
    <t>2029002C</t>
  </si>
  <si>
    <t>2029004C</t>
  </si>
  <si>
    <t>1002502C</t>
  </si>
  <si>
    <t>1033401A</t>
  </si>
  <si>
    <t>1025902C</t>
  </si>
  <si>
    <t>1025903C</t>
  </si>
  <si>
    <t>1025904C</t>
  </si>
  <si>
    <t>2033503C</t>
  </si>
  <si>
    <t>2033502C</t>
  </si>
  <si>
    <t>2033504C</t>
  </si>
  <si>
    <t>2033505C</t>
  </si>
  <si>
    <t>1034301A</t>
  </si>
  <si>
    <t>1002602C</t>
  </si>
  <si>
    <t>1002601A</t>
  </si>
  <si>
    <t>1037201A</t>
  </si>
  <si>
    <t>1036901A</t>
  </si>
  <si>
    <t>1034601C</t>
  </si>
  <si>
    <t>1034602C</t>
  </si>
  <si>
    <t>1034603A</t>
  </si>
  <si>
    <t>1034604C</t>
  </si>
  <si>
    <t>2031601C</t>
  </si>
  <si>
    <t>1031602A</t>
  </si>
  <si>
    <t>2031603C</t>
  </si>
  <si>
    <t>2033301C</t>
  </si>
  <si>
    <t>2032301C</t>
  </si>
  <si>
    <t>2032302C</t>
  </si>
  <si>
    <t>1033301A</t>
  </si>
  <si>
    <t>1035301A</t>
  </si>
  <si>
    <t>2035303C</t>
  </si>
  <si>
    <t>2035302C</t>
  </si>
  <si>
    <t>2035304C</t>
  </si>
  <si>
    <t>1019202A</t>
  </si>
  <si>
    <t>2302101C</t>
  </si>
  <si>
    <t>2102102A</t>
  </si>
  <si>
    <t>1039401C</t>
  </si>
  <si>
    <t>1029006A</t>
  </si>
  <si>
    <t>1039002C</t>
  </si>
  <si>
    <t>2032804C</t>
  </si>
  <si>
    <t>2037602C</t>
  </si>
  <si>
    <t>1035502A</t>
  </si>
  <si>
    <t>1040201A</t>
  </si>
  <si>
    <t>1029007A</t>
  </si>
  <si>
    <t>Investor Code</t>
  </si>
  <si>
    <t>Zone</t>
  </si>
  <si>
    <t>India I</t>
  </si>
  <si>
    <t>India II</t>
  </si>
  <si>
    <t>Location</t>
  </si>
  <si>
    <t>City</t>
  </si>
  <si>
    <t>Mumbai</t>
  </si>
  <si>
    <t>Thane</t>
  </si>
  <si>
    <t>Bhiwandi</t>
  </si>
  <si>
    <t>Bhubaneshwar</t>
  </si>
  <si>
    <t>Bhubneshwar</t>
  </si>
  <si>
    <t>Sundargarh</t>
  </si>
  <si>
    <t>Rourkela</t>
  </si>
  <si>
    <t>Sambalpur</t>
  </si>
  <si>
    <t>Pune</t>
  </si>
  <si>
    <t>Warje</t>
  </si>
  <si>
    <t>Baner</t>
  </si>
  <si>
    <t>Gwalior</t>
  </si>
  <si>
    <t>SouthDelhi</t>
  </si>
  <si>
    <t>Tirunelveli</t>
  </si>
  <si>
    <t>Vetturnimadam</t>
  </si>
  <si>
    <t>Nagercoil</t>
  </si>
  <si>
    <t>Dindigul</t>
  </si>
  <si>
    <t>Madurai</t>
  </si>
  <si>
    <t>Prayagraj</t>
  </si>
  <si>
    <t>Varanasi</t>
  </si>
  <si>
    <t>Panchkula</t>
  </si>
  <si>
    <t>Hisar</t>
  </si>
  <si>
    <t>Sirsa</t>
  </si>
  <si>
    <t>Jind</t>
  </si>
  <si>
    <t>Karnal</t>
  </si>
  <si>
    <t>Rohtak</t>
  </si>
  <si>
    <t>Panipat</t>
  </si>
  <si>
    <t>Noida</t>
  </si>
  <si>
    <t>Ghaziabad</t>
  </si>
  <si>
    <t>Mohkampur</t>
  </si>
  <si>
    <t>Meerut</t>
  </si>
  <si>
    <t>Bareilly</t>
  </si>
  <si>
    <t>Moradabad</t>
  </si>
  <si>
    <t>Dehradun</t>
  </si>
  <si>
    <t>Gutkar</t>
  </si>
  <si>
    <t>Mandi</t>
  </si>
  <si>
    <t>Saproomy</t>
  </si>
  <si>
    <t>Solan</t>
  </si>
  <si>
    <t>Ahmedabad</t>
  </si>
  <si>
    <t>Taleigao</t>
  </si>
  <si>
    <t>Panaji</t>
  </si>
  <si>
    <t>Agalli</t>
  </si>
  <si>
    <t>Margao</t>
  </si>
  <si>
    <t>Calicut</t>
  </si>
  <si>
    <t>Ernakulam</t>
  </si>
  <si>
    <t>Kochi</t>
  </si>
  <si>
    <t>Ettumanoor</t>
  </si>
  <si>
    <t>Kottayam</t>
  </si>
  <si>
    <t>Velloorkunnam</t>
  </si>
  <si>
    <t>Thottada</t>
  </si>
  <si>
    <t>Kannur</t>
  </si>
  <si>
    <t>Aarattuvazhi</t>
  </si>
  <si>
    <t>Alappuzha</t>
  </si>
  <si>
    <t>St.PetersJunction</t>
  </si>
  <si>
    <t>Palarivattom</t>
  </si>
  <si>
    <t>IndiraNagar</t>
  </si>
  <si>
    <t>Kasargod</t>
  </si>
  <si>
    <t>Faridabad</t>
  </si>
  <si>
    <t>IPIA</t>
  </si>
  <si>
    <t>Kota</t>
  </si>
  <si>
    <t>GauravPath</t>
  </si>
  <si>
    <t>Bhilwara</t>
  </si>
  <si>
    <t>Devtal</t>
  </si>
  <si>
    <t>Jabalpur</t>
  </si>
  <si>
    <t>MaiharBypassRd.</t>
  </si>
  <si>
    <t>Satna</t>
  </si>
  <si>
    <t>Nerul</t>
  </si>
  <si>
    <t>Panvel</t>
  </si>
  <si>
    <t>BhandarkarRoad</t>
  </si>
  <si>
    <t>PimpleGurav</t>
  </si>
  <si>
    <t>Canatik</t>
  </si>
  <si>
    <t>Ahmednagar</t>
  </si>
  <si>
    <t>Tathawade</t>
  </si>
  <si>
    <t>PonnaniRoad</t>
  </si>
  <si>
    <t>Palakkad</t>
  </si>
  <si>
    <t>Ramapuram</t>
  </si>
  <si>
    <t>Malappuram</t>
  </si>
  <si>
    <t>ChamravattamRoad</t>
  </si>
  <si>
    <t>Tirur</t>
  </si>
  <si>
    <t>Thrissur</t>
  </si>
  <si>
    <t>AJCBoseRoad</t>
  </si>
  <si>
    <t>Kolkata</t>
  </si>
  <si>
    <t>V.I.PRoad</t>
  </si>
  <si>
    <t>Kamrangu</t>
  </si>
  <si>
    <t>Howrah</t>
  </si>
  <si>
    <t>SevokeRoad</t>
  </si>
  <si>
    <t>Siliguri</t>
  </si>
  <si>
    <t>Khairasole</t>
  </si>
  <si>
    <t>Durgapur</t>
  </si>
  <si>
    <t>Ambattur</t>
  </si>
  <si>
    <t>Chennai</t>
  </si>
  <si>
    <t>GanapathyNagar</t>
  </si>
  <si>
    <t>Trichy</t>
  </si>
  <si>
    <t>Perumugai</t>
  </si>
  <si>
    <t>Vellore</t>
  </si>
  <si>
    <t>PudukottaiRoad</t>
  </si>
  <si>
    <t>Thanjavur</t>
  </si>
  <si>
    <t>Kattupakkam</t>
  </si>
  <si>
    <t>AnnaNagar</t>
  </si>
  <si>
    <t>Teynampet</t>
  </si>
  <si>
    <t>Amritsar</t>
  </si>
  <si>
    <t>Adityapur</t>
  </si>
  <si>
    <t>Jamshedpur</t>
  </si>
  <si>
    <t>Hoshangabadroad</t>
  </si>
  <si>
    <t>Dwarka</t>
  </si>
  <si>
    <t>SohnaRoad</t>
  </si>
  <si>
    <t>Gurugram</t>
  </si>
  <si>
    <t>Sector15</t>
  </si>
  <si>
    <t>Naharlagun</t>
  </si>
  <si>
    <t>Itanagar</t>
  </si>
  <si>
    <t>IndustrialArea,Phase-I</t>
  </si>
  <si>
    <t>Chandigarh</t>
  </si>
  <si>
    <t>Kapurthala</t>
  </si>
  <si>
    <t>Jalandhar</t>
  </si>
  <si>
    <t>DhandariKalan</t>
  </si>
  <si>
    <t>Ludhiana</t>
  </si>
  <si>
    <t>MansaRoad</t>
  </si>
  <si>
    <t>Nandanam</t>
  </si>
  <si>
    <t>Guduvanchery</t>
  </si>
  <si>
    <t>Pachaiyankuppam</t>
  </si>
  <si>
    <t>Cuddalore</t>
  </si>
  <si>
    <t>ECRRoad</t>
  </si>
  <si>
    <t>Pondicherry</t>
  </si>
  <si>
    <t>OMR</t>
  </si>
  <si>
    <t>Marripalem</t>
  </si>
  <si>
    <t>Vijayawada</t>
  </si>
  <si>
    <t>Nawabpetta</t>
  </si>
  <si>
    <t>Autonagar</t>
  </si>
  <si>
    <t>Bowenpally</t>
  </si>
  <si>
    <t>Somajiguda</t>
  </si>
  <si>
    <t>Haraya</t>
  </si>
  <si>
    <t>Gorakhpur</t>
  </si>
  <si>
    <t>Worli</t>
  </si>
  <si>
    <t>Nagole</t>
  </si>
  <si>
    <t>Hyderabad</t>
  </si>
  <si>
    <t>Kothirampur</t>
  </si>
  <si>
    <t>Karimnagar</t>
  </si>
  <si>
    <t>Attapur</t>
  </si>
  <si>
    <t>Nasik</t>
  </si>
  <si>
    <t>Jalgaon</t>
  </si>
  <si>
    <t>Avdhan</t>
  </si>
  <si>
    <t>Dhule</t>
  </si>
  <si>
    <t>Dewalchour</t>
  </si>
  <si>
    <t>Haldwani</t>
  </si>
  <si>
    <t>Rudrapur</t>
  </si>
  <si>
    <t>Nagpur</t>
  </si>
  <si>
    <t>Amravati</t>
  </si>
  <si>
    <t>Chandrapur</t>
  </si>
  <si>
    <t>Sadashivnagar</t>
  </si>
  <si>
    <t>Kondapur</t>
  </si>
  <si>
    <t>Nadepalle</t>
  </si>
  <si>
    <t>Agra</t>
  </si>
  <si>
    <t>Surat</t>
  </si>
  <si>
    <t>Vapi</t>
  </si>
  <si>
    <t>Kabilpore</t>
  </si>
  <si>
    <t>Navsari</t>
  </si>
  <si>
    <t>Mahadevpura</t>
  </si>
  <si>
    <t>Bengaluru</t>
  </si>
  <si>
    <t>Brookefield</t>
  </si>
  <si>
    <t>Bommasandra</t>
  </si>
  <si>
    <t>Bairidevarkoppa</t>
  </si>
  <si>
    <t>Hubballi</t>
  </si>
  <si>
    <t>Kangralli Ind. Area</t>
  </si>
  <si>
    <t>Belgaum</t>
  </si>
  <si>
    <t>Bathalapalli</t>
  </si>
  <si>
    <t>Hosur</t>
  </si>
  <si>
    <t>Nalliyampalayam</t>
  </si>
  <si>
    <t>Erode</t>
  </si>
  <si>
    <t>Mamangam</t>
  </si>
  <si>
    <t>Salem</t>
  </si>
  <si>
    <t>Namakkal</t>
  </si>
  <si>
    <t>Jaipur</t>
  </si>
  <si>
    <t>Alwar</t>
  </si>
  <si>
    <t>Sikar</t>
  </si>
  <si>
    <t>Ajmer</t>
  </si>
  <si>
    <t>Chikalthana</t>
  </si>
  <si>
    <t>Indore</t>
  </si>
  <si>
    <t>Salakhedi</t>
  </si>
  <si>
    <t>Ratlam</t>
  </si>
  <si>
    <t>Coimbatore</t>
  </si>
  <si>
    <t>Tirupur</t>
  </si>
  <si>
    <t>Karur</t>
  </si>
  <si>
    <t>Pollachi</t>
  </si>
  <si>
    <t>Saravanampatti</t>
  </si>
  <si>
    <t>Amberi</t>
  </si>
  <si>
    <t>Udaipur</t>
  </si>
  <si>
    <t>Rajkot</t>
  </si>
  <si>
    <t>Junagadh</t>
  </si>
  <si>
    <t>Hapa</t>
  </si>
  <si>
    <t>Jamnagar</t>
  </si>
  <si>
    <t>Sanala</t>
  </si>
  <si>
    <t>Morbi</t>
  </si>
  <si>
    <t>Anjar</t>
  </si>
  <si>
    <t>Gandhidham</t>
  </si>
  <si>
    <t>Mysore</t>
  </si>
  <si>
    <t>Kolhapur</t>
  </si>
  <si>
    <t>Sangli</t>
  </si>
  <si>
    <t>Satara</t>
  </si>
  <si>
    <t>Govindpur</t>
  </si>
  <si>
    <t>Dhanbad</t>
  </si>
  <si>
    <t>Ormanjhi</t>
  </si>
  <si>
    <t>Ranchi</t>
  </si>
  <si>
    <t>Tatibandh</t>
  </si>
  <si>
    <t>Raipur</t>
  </si>
  <si>
    <t>Biha</t>
  </si>
  <si>
    <t>Bilaspur</t>
  </si>
  <si>
    <t>Kanpur</t>
  </si>
  <si>
    <t>Lucknow</t>
  </si>
  <si>
    <t>Dibrugarh</t>
  </si>
  <si>
    <t>Dimapur</t>
  </si>
  <si>
    <t>Maligaon</t>
  </si>
  <si>
    <t>Guwahati</t>
  </si>
  <si>
    <t>Khutikatia</t>
  </si>
  <si>
    <t>Nagaon</t>
  </si>
  <si>
    <t>Khanapara</t>
  </si>
  <si>
    <t>Makarba</t>
  </si>
  <si>
    <t>Atladra</t>
  </si>
  <si>
    <t>Vadodara</t>
  </si>
  <si>
    <t>Nagalpur</t>
  </si>
  <si>
    <t>Mehsana</t>
  </si>
  <si>
    <t>Gota</t>
  </si>
  <si>
    <t>Bhavnagar</t>
  </si>
  <si>
    <t>Bholav</t>
  </si>
  <si>
    <t>Bharuch</t>
  </si>
  <si>
    <t>Anand</t>
  </si>
  <si>
    <t>Patna</t>
  </si>
  <si>
    <t>Purnea</t>
  </si>
  <si>
    <t>Madhaul</t>
  </si>
  <si>
    <t>Muzzaffarpur</t>
  </si>
  <si>
    <t>Gaya</t>
  </si>
  <si>
    <t>Mangalore</t>
  </si>
  <si>
    <t>Sarjapur</t>
  </si>
  <si>
    <t>Ambagilu</t>
  </si>
  <si>
    <t>Udupi</t>
  </si>
  <si>
    <t>Shivamogga</t>
  </si>
  <si>
    <t>Ambala</t>
  </si>
  <si>
    <t>Jodhpur</t>
  </si>
  <si>
    <t>Jammu</t>
  </si>
  <si>
    <t>Raghunathpur</t>
  </si>
  <si>
    <t>Jagadhri</t>
  </si>
  <si>
    <t>Yamunanagar</t>
  </si>
  <si>
    <t>Mohali Citi Square</t>
  </si>
  <si>
    <t>Zirakpur</t>
  </si>
  <si>
    <t>VKI</t>
  </si>
  <si>
    <t>Chinhat</t>
  </si>
  <si>
    <t>PTC Centre</t>
  </si>
  <si>
    <t>Saharanpur</t>
  </si>
  <si>
    <t>PB Road</t>
  </si>
  <si>
    <t>Davanagere</t>
  </si>
  <si>
    <t>Krishnapuram</t>
  </si>
  <si>
    <t>Kayamkulam</t>
  </si>
  <si>
    <t>Ezhinjillam</t>
  </si>
  <si>
    <t>Thiruvalla</t>
  </si>
  <si>
    <t>Civil Lines</t>
  </si>
  <si>
    <t>Jhansi</t>
  </si>
  <si>
    <t>Raja Park</t>
  </si>
  <si>
    <t>Powai</t>
  </si>
  <si>
    <t>RSM</t>
  </si>
  <si>
    <t>Nishant Sinha</t>
  </si>
  <si>
    <t>Pradeep K</t>
  </si>
  <si>
    <t>Pratap C.</t>
  </si>
  <si>
    <t>Harsh Rajan</t>
  </si>
  <si>
    <t>Jobin Mathew</t>
  </si>
  <si>
    <t>Chirag Khanna</t>
  </si>
  <si>
    <t>Dinesh Bhatia</t>
  </si>
  <si>
    <t>Paresh Hegde</t>
  </si>
  <si>
    <t>Ankit Gupta</t>
  </si>
  <si>
    <t>Sarat Chakraborty</t>
  </si>
  <si>
    <t>Tobruk Bhan</t>
  </si>
  <si>
    <t>Kiran Hareendran</t>
  </si>
  <si>
    <t>Sales Certified Manpower</t>
  </si>
  <si>
    <t>Central Web-In Lead to Retail</t>
  </si>
  <si>
    <t>Mystery Shopping</t>
  </si>
  <si>
    <t>Esclation Index</t>
  </si>
  <si>
    <t>PSI Sales</t>
  </si>
  <si>
    <t>Weightage</t>
  </si>
  <si>
    <t>Row Labels</t>
  </si>
  <si>
    <t>Code</t>
  </si>
  <si>
    <t xml:space="preserve"> CX Sales</t>
  </si>
  <si>
    <t>Service Certified Manpower</t>
  </si>
  <si>
    <t>Repair Quality</t>
  </si>
  <si>
    <t>SMP Sales</t>
  </si>
  <si>
    <t>Escalation Index</t>
  </si>
  <si>
    <t>CX Service</t>
  </si>
  <si>
    <t>Dev Bhoomi Motors Pvt. Ltd1161</t>
  </si>
  <si>
    <t>EVM Motors &amp; Vehicles India Pvt Ltd3346</t>
  </si>
  <si>
    <t>Akoya Motors Pvt Ltd4357</t>
  </si>
  <si>
    <t>Avya Automobiles Pvt. Ltd.3530</t>
  </si>
  <si>
    <t>Berk Autozone LLP1221</t>
  </si>
  <si>
    <t>Total Score</t>
  </si>
  <si>
    <t>Speedometer</t>
  </si>
  <si>
    <t>Min Score</t>
  </si>
  <si>
    <t>Pointer</t>
  </si>
  <si>
    <t>Value</t>
  </si>
  <si>
    <t xml:space="preserve">Pointer </t>
  </si>
  <si>
    <t>End</t>
  </si>
  <si>
    <t>Max Score</t>
  </si>
  <si>
    <t>Mid Start</t>
  </si>
  <si>
    <t>Mid</t>
  </si>
  <si>
    <t>Mid excel</t>
  </si>
  <si>
    <t>Max Ach</t>
  </si>
  <si>
    <t>Brite Auto Wheels Private Limited3001</t>
  </si>
  <si>
    <t>BLC Autosales Pvt Ltd+Sidak Automobiles1337</t>
  </si>
  <si>
    <t>DDPM Automobiles LLP3606</t>
  </si>
  <si>
    <t>Sales Score</t>
  </si>
  <si>
    <t>Service Score</t>
  </si>
  <si>
    <t>Investor Type</t>
  </si>
  <si>
    <t>Investory Category</t>
  </si>
  <si>
    <t>Gurudev Motors Pvt. Ltd1453</t>
  </si>
  <si>
    <t>Krishna Auto Sales 1094</t>
  </si>
  <si>
    <t>(Regent) Tejpal Motors Pvt. Ltd.1758</t>
  </si>
  <si>
    <t>(Trinity) Durgesh Motors Pvt. Ltd. 4496</t>
  </si>
  <si>
    <t>Ananya Sales Pvt Ltd2767</t>
  </si>
  <si>
    <t>Aura Motors Pvt. Ltd + Maverick Motors 3616</t>
  </si>
  <si>
    <t>Commercial Automotives Pvt Ltd1703</t>
  </si>
  <si>
    <t>Emporium Automobile Pvt. Ltd.3955</t>
  </si>
  <si>
    <t>Excel Cars Pvt. Ltd.3343</t>
  </si>
  <si>
    <t>Fatehpuria Motocorp Pvt Ltd 2688</t>
  </si>
  <si>
    <t>Frontier Cars India Pvt Ltd3815</t>
  </si>
  <si>
    <t>Garnet Motors (D) Pvt. Ltd.3766</t>
  </si>
  <si>
    <t>Garve Car Mania Pvt Ltd2294</t>
  </si>
  <si>
    <t>Gem Phoenix Auto Pvt Ltd2266</t>
  </si>
  <si>
    <t>HD Autowheels Pvt. Ltd.3420</t>
  </si>
  <si>
    <t>Imperial 3S Jamshedpur 2466</t>
  </si>
  <si>
    <t>Jai Auto Vehicles Pvt Ltd2452</t>
  </si>
  <si>
    <t>K Cube Motors LLP1757</t>
  </si>
  <si>
    <t>Kun Motor Enterprises Pvt Ltd1515</t>
  </si>
  <si>
    <t>Mahavir Auto  Diagnostics Pvt. Ltd_AP2144</t>
  </si>
  <si>
    <t>Mahavir Auto  Diagnostics Pvt. Ltd_TL3338</t>
  </si>
  <si>
    <t>MM Auto Sales Pvt Ltd.2958</t>
  </si>
  <si>
    <t>Mody India Cars Pvt Ltd_MH2515</t>
  </si>
  <si>
    <t>Mody India Cars Pvt Ltd_TL3117</t>
  </si>
  <si>
    <t>Moharir Motors Pvt. Ltd1367</t>
  </si>
  <si>
    <t>Pal Prateek Automobile LLP1595</t>
  </si>
  <si>
    <t>Patni Autoventures LLP2100</t>
  </si>
  <si>
    <t>PPS Motors Pvt Ltd_AP1582</t>
  </si>
  <si>
    <t>PPS Motors Pvt Ltd_KA1690</t>
  </si>
  <si>
    <t>PPS Motors Pvt Ltd_Kerala3027</t>
  </si>
  <si>
    <t>PPS Motors Pvt Ltd_TL3654</t>
  </si>
  <si>
    <t>Prem Garages Pvt. Ltd2861</t>
  </si>
  <si>
    <t>Presidency Cars Pvt. Ltd.2105</t>
  </si>
  <si>
    <t>Raja Ganesh Motors2044</t>
  </si>
  <si>
    <t>Raja Motors Corporation4183</t>
  </si>
  <si>
    <t>S7 Cars India Pvt. Ltd1204</t>
  </si>
  <si>
    <t>Saisha Motors Pvt Ltd1987</t>
  </si>
  <si>
    <t>Sarra Motors1958</t>
  </si>
  <si>
    <t>Satguru Motors1489</t>
  </si>
  <si>
    <t>SGA Cars India Pvt Ltd 2154</t>
  </si>
  <si>
    <t>Shanta Motors Pvt. Ltd.2185</t>
  </si>
  <si>
    <t>Shekhawati Electronics Pvt Ltd 2768</t>
  </si>
  <si>
    <t>Shreenathji Automobiles Pvt Ltd2774</t>
  </si>
  <si>
    <t>ShriBalaji AutoAgency Mysore Pvt. Ltd2168</t>
  </si>
  <si>
    <t>Singhania Motors Pvt Ltd4077</t>
  </si>
  <si>
    <t>Speed Automotive Pvt. Ltd.2427</t>
  </si>
  <si>
    <t>Speedworks Auto Private Limited3225</t>
  </si>
  <si>
    <t>SSB Automobiles Pvt Ltd2343</t>
  </si>
  <si>
    <t>Stellar Autohaus Pvt ltd  2358</t>
  </si>
  <si>
    <t>SV Autowheels LLP 2785</t>
  </si>
  <si>
    <t>Tafe Access Limited 2347</t>
  </si>
  <si>
    <t>United Wheels1996</t>
  </si>
  <si>
    <t>Utsav India Cars LLP3902</t>
  </si>
  <si>
    <t>Empreo Allied Pvt. Ltd.1419</t>
  </si>
  <si>
    <t>RN Mobility Pvt. Ltd.1862</t>
  </si>
  <si>
    <t>Kanal Vehicles LLP1672</t>
  </si>
  <si>
    <t xml:space="preserve"> Sales Certified Manpower (100)</t>
  </si>
  <si>
    <t xml:space="preserve"> Central Web-In Lead to Retail (75)</t>
  </si>
  <si>
    <t xml:space="preserve"> Mystery Shopping (75)</t>
  </si>
  <si>
    <t xml:space="preserve"> Esclation Index (50)</t>
  </si>
  <si>
    <t xml:space="preserve"> PSI Sales (100)</t>
  </si>
  <si>
    <t xml:space="preserve"> Service Certified Manpower (100)</t>
  </si>
  <si>
    <t xml:space="preserve"> Repair Quality (50)</t>
  </si>
  <si>
    <t xml:space="preserve"> SMP Sales (100)</t>
  </si>
  <si>
    <t xml:space="preserve"> Escalation Index (100)</t>
  </si>
  <si>
    <t xml:space="preserve"> CX Service (100)</t>
  </si>
  <si>
    <t>Outlet Weightage</t>
  </si>
  <si>
    <t>Oulet Weightage</t>
  </si>
  <si>
    <t xml:space="preserve"> Oulet Weightage</t>
  </si>
  <si>
    <t>GMB Rating</t>
  </si>
  <si>
    <t>Sum of Outlet Weightage</t>
  </si>
  <si>
    <t>KVPS &amp; OW</t>
  </si>
  <si>
    <t>Wholesale Achieved</t>
  </si>
  <si>
    <t>Parts Target achieved</t>
  </si>
  <si>
    <t>CX Sales Score</t>
  </si>
  <si>
    <t>KVPS</t>
  </si>
  <si>
    <t>Sales GMB</t>
  </si>
  <si>
    <t xml:space="preserve">Service GMB </t>
  </si>
  <si>
    <t>Blank</t>
  </si>
  <si>
    <t>-</t>
  </si>
  <si>
    <t xml:space="preserve"> CX Sales (100)</t>
  </si>
  <si>
    <t>KPIs</t>
  </si>
  <si>
    <t>Weighted Score</t>
  </si>
  <si>
    <t>Fixed Payout</t>
  </si>
  <si>
    <t>Variable Payout</t>
  </si>
  <si>
    <t xml:space="preserve">Bonus </t>
  </si>
  <si>
    <t>Total Payout</t>
  </si>
  <si>
    <t>Sales Weighted Score</t>
  </si>
  <si>
    <t>Service Weighted Score</t>
  </si>
  <si>
    <t xml:space="preserve">Payout </t>
  </si>
  <si>
    <t xml:space="preserve">Service </t>
  </si>
  <si>
    <t xml:space="preserve">Sales </t>
  </si>
  <si>
    <t>Parts sales target achieved</t>
  </si>
  <si>
    <t>Wholesale target achieved</t>
  </si>
  <si>
    <t>Investor Sales Score</t>
  </si>
  <si>
    <t>Investor Service Score</t>
  </si>
  <si>
    <t>Fixed Amount</t>
  </si>
  <si>
    <t>Variable Amount</t>
  </si>
  <si>
    <t>Payout Per Car</t>
  </si>
  <si>
    <t>Payout per Car</t>
  </si>
  <si>
    <t>CAT 1</t>
  </si>
  <si>
    <t>CAT 2</t>
  </si>
  <si>
    <t>CAT 3</t>
  </si>
  <si>
    <t>Investors list as per Simulation</t>
  </si>
  <si>
    <t>AKOYA</t>
  </si>
  <si>
    <t>Ananya</t>
  </si>
  <si>
    <t>AURA + MAVERICK</t>
  </si>
  <si>
    <t>Automovers</t>
  </si>
  <si>
    <t>AVYA</t>
  </si>
  <si>
    <t>BERK</t>
  </si>
  <si>
    <t>BRITE</t>
  </si>
  <si>
    <t>Commercial</t>
  </si>
  <si>
    <t>DDPM</t>
  </si>
  <si>
    <t>DEV</t>
  </si>
  <si>
    <t>DMPL</t>
  </si>
  <si>
    <t>Emporium</t>
  </si>
  <si>
    <t>Empreo</t>
  </si>
  <si>
    <t>EVM</t>
  </si>
  <si>
    <t>EXCEL</t>
  </si>
  <si>
    <t>FATEHPURIA</t>
  </si>
  <si>
    <t>FRONTIER</t>
  </si>
  <si>
    <t>Garnet</t>
  </si>
  <si>
    <t>GARVE</t>
  </si>
  <si>
    <t>Gem</t>
  </si>
  <si>
    <t>GMCL</t>
  </si>
  <si>
    <t>GURUDEV</t>
  </si>
  <si>
    <t>HDAPL</t>
  </si>
  <si>
    <t>IMPERIAL</t>
  </si>
  <si>
    <t>JSB</t>
  </si>
  <si>
    <t>K cube</t>
  </si>
  <si>
    <t>KAS</t>
  </si>
  <si>
    <t>KUN CHEN + KUN POND</t>
  </si>
  <si>
    <t>MAHAVIR_AP</t>
  </si>
  <si>
    <t>MAHAVIR_TL</t>
  </si>
  <si>
    <t>MM Auto</t>
  </si>
  <si>
    <t>MODY_MH</t>
  </si>
  <si>
    <t>MODY_TL</t>
  </si>
  <si>
    <t>MOHARIR</t>
  </si>
  <si>
    <t>Pal Prateek</t>
  </si>
  <si>
    <t>Patni</t>
  </si>
  <si>
    <t>PPS_AP</t>
  </si>
  <si>
    <t>PPS_KA</t>
  </si>
  <si>
    <t>PPS_Kerala</t>
  </si>
  <si>
    <t>PPS_TL</t>
  </si>
  <si>
    <t>PREM</t>
  </si>
  <si>
    <t>PRESIDENCY</t>
  </si>
  <si>
    <t>RAJA GANESH</t>
  </si>
  <si>
    <t>RAJA MOTORS</t>
  </si>
  <si>
    <t>S7</t>
  </si>
  <si>
    <t>SAISHA</t>
  </si>
  <si>
    <t>SARRA</t>
  </si>
  <si>
    <t>RN Mobility</t>
  </si>
  <si>
    <t>Regent</t>
  </si>
  <si>
    <t>SATGURU</t>
  </si>
  <si>
    <t>SBAMPL</t>
  </si>
  <si>
    <t>SGA</t>
  </si>
  <si>
    <t>Shanta</t>
  </si>
  <si>
    <t>Zedex</t>
  </si>
  <si>
    <t>SHREENATHJI</t>
  </si>
  <si>
    <t>SHRINE</t>
  </si>
  <si>
    <t>Singhania</t>
  </si>
  <si>
    <t>SPEED</t>
  </si>
  <si>
    <t>Speedworks</t>
  </si>
  <si>
    <t>SSB</t>
  </si>
  <si>
    <t>STELLAR</t>
  </si>
  <si>
    <t>SVA</t>
  </si>
  <si>
    <t>TAFE</t>
  </si>
  <si>
    <t>United</t>
  </si>
  <si>
    <t>Utsav</t>
  </si>
  <si>
    <t>Kanal</t>
  </si>
  <si>
    <t>SIDAK + BLC</t>
  </si>
  <si>
    <t>CAT Type</t>
  </si>
  <si>
    <t>Retail Target</t>
  </si>
  <si>
    <t>CAT1</t>
  </si>
  <si>
    <t>Wholesale Acheivement</t>
  </si>
  <si>
    <t>Automovers Auto Industry Pvt. Ltd.3313</t>
  </si>
  <si>
    <t>Outlet Type</t>
  </si>
  <si>
    <t>Whole Sale achievement</t>
  </si>
  <si>
    <t>Parts achievement</t>
  </si>
  <si>
    <t/>
  </si>
  <si>
    <t>Oulet Retail  Target Weightage</t>
  </si>
  <si>
    <t>Oulet Parts Target Weightage</t>
  </si>
  <si>
    <t>Buglee Automobiles Pvt. Ltd.</t>
  </si>
  <si>
    <t>Buglee Automobiles Pvt. Ltd.3783</t>
  </si>
  <si>
    <t>1040601A</t>
  </si>
  <si>
    <t>1039902A</t>
  </si>
  <si>
    <t>1040501C</t>
  </si>
  <si>
    <t>1002504C</t>
  </si>
  <si>
    <t>1039201C</t>
  </si>
  <si>
    <t>Dhone Mobility Pvt. Ltd.</t>
  </si>
  <si>
    <t>Gurukrupa Cars Pvt. Ltd.</t>
  </si>
  <si>
    <t>Karr Motor Ventures Pvt. Ltd</t>
  </si>
  <si>
    <t>Malwa Motor Sales Pvt. Ltd.</t>
  </si>
  <si>
    <t>Moti Nagar</t>
  </si>
  <si>
    <t>New Delhi</t>
  </si>
  <si>
    <t>Wagholi</t>
  </si>
  <si>
    <t>Hadapsar</t>
  </si>
  <si>
    <t>Satara Road</t>
  </si>
  <si>
    <t>Nowgam</t>
  </si>
  <si>
    <t>Srinagar</t>
  </si>
  <si>
    <t>Ayyankoikkal</t>
  </si>
  <si>
    <t>Adoor</t>
  </si>
  <si>
    <t>Shivaji Nagar</t>
  </si>
  <si>
    <t>Solapur</t>
  </si>
  <si>
    <t>Nanded Road</t>
  </si>
  <si>
    <t>Latur</t>
  </si>
  <si>
    <t>JP Nagar</t>
  </si>
  <si>
    <t>Wazirpur</t>
  </si>
  <si>
    <t>31 Milestone</t>
  </si>
  <si>
    <t>Kundli</t>
  </si>
  <si>
    <t>Dewas Road</t>
  </si>
  <si>
    <t>Ujjain</t>
  </si>
  <si>
    <t>BM Road</t>
  </si>
  <si>
    <t>Hassan</t>
  </si>
  <si>
    <t>Nimbahera</t>
  </si>
  <si>
    <t>Chittorgarh</t>
  </si>
  <si>
    <t>Hazrat Ganj</t>
  </si>
  <si>
    <t>Gurukrupa Cars Pvt. Ltd.4121</t>
  </si>
  <si>
    <t>Patia</t>
  </si>
  <si>
    <t>Bhubaneswar</t>
  </si>
  <si>
    <t>Bachupally</t>
  </si>
  <si>
    <t>No Service</t>
  </si>
  <si>
    <t>Dhone</t>
  </si>
  <si>
    <t>Dhone Mobility Pvt. Ltd.2398</t>
  </si>
  <si>
    <t>Gurukrupa</t>
  </si>
  <si>
    <t>Karr Motor Ventures Pvt. Ltd1998</t>
  </si>
  <si>
    <t>Karr</t>
  </si>
  <si>
    <t>Malwa Motor Sales Pvt. Ltd.1879</t>
  </si>
  <si>
    <t>Malwa</t>
  </si>
  <si>
    <t>2037603C</t>
  </si>
  <si>
    <t>2041801C</t>
  </si>
  <si>
    <t>1041101C</t>
  </si>
  <si>
    <t>1041501A</t>
  </si>
  <si>
    <t>(SPL) Sanwaria Automotive Pvt. Ltd</t>
  </si>
  <si>
    <t>Ramani Automotive Excellence Pvt. Ltd.</t>
  </si>
  <si>
    <t>Shyam Sangam Automobiles Pvt Ltd</t>
  </si>
  <si>
    <t>NH 12 Road</t>
  </si>
  <si>
    <t>Barasat</t>
  </si>
  <si>
    <t>Talhedi</t>
  </si>
  <si>
    <t>Roorkee</t>
  </si>
  <si>
    <t>Seelapadi</t>
  </si>
  <si>
    <t>Kappalur</t>
  </si>
  <si>
    <t>Geeta Bhawan Road</t>
  </si>
  <si>
    <t>Bhawarkuan Road</t>
  </si>
  <si>
    <t>Ramani Automotive Excellence Pvt. Ltd.1938</t>
  </si>
  <si>
    <t>Shyam Sangam Automobiles Pvt Ltd2021</t>
  </si>
  <si>
    <t>Ramani</t>
  </si>
  <si>
    <t>Shyam</t>
  </si>
  <si>
    <t>(SPL) Sanwaria Automotive Pvt. Ltd1468</t>
  </si>
  <si>
    <t>SPL</t>
  </si>
  <si>
    <t>Wheelocity Motors Pvt Ltd + Elysian Automobile Pvt. Ltd.</t>
  </si>
  <si>
    <t>Elysian+WMPL</t>
  </si>
  <si>
    <t>ARYAVEER / Buglee</t>
  </si>
  <si>
    <t>Wheelocity Motors Pvt Ltd + Elysian Automobile Pvt. Ltd.3850</t>
  </si>
  <si>
    <t>Eligibility Criteria (to be fulfilled)</t>
  </si>
  <si>
    <t>1039801A</t>
  </si>
  <si>
    <t>1010003A</t>
  </si>
  <si>
    <t>2031604C</t>
  </si>
  <si>
    <t>Stellar Autohaus Pvt. Ltd.  </t>
  </si>
  <si>
    <t>Wholesale Achievement Q3'25</t>
  </si>
  <si>
    <t>Parts Achievement Q3'25</t>
  </si>
  <si>
    <t>Investor Abbrevation</t>
  </si>
  <si>
    <t>Speed</t>
  </si>
  <si>
    <t>Dashboard</t>
  </si>
  <si>
    <t>Match</t>
  </si>
  <si>
    <t>If WS&amp;Parts applicable</t>
  </si>
  <si>
    <t>Eligibility Criteria (Actual Score)</t>
  </si>
  <si>
    <t>Experience Centre</t>
  </si>
  <si>
    <t>1033601A</t>
  </si>
  <si>
    <t>1041001A</t>
  </si>
  <si>
    <t>1034301C</t>
  </si>
  <si>
    <t xml:space="preserve">2037603C </t>
  </si>
  <si>
    <t>CPO</t>
  </si>
  <si>
    <t>1014103C</t>
  </si>
  <si>
    <t>20330*</t>
  </si>
  <si>
    <t xml:space="preserve"> 20366 </t>
  </si>
  <si>
    <t>20322*</t>
  </si>
  <si>
    <t>Sales Code</t>
  </si>
  <si>
    <t>After Sales Code</t>
  </si>
  <si>
    <t>1029603B</t>
  </si>
  <si>
    <t>2029404B</t>
  </si>
  <si>
    <t>2029005B</t>
  </si>
  <si>
    <t>2036902B</t>
  </si>
  <si>
    <t>2202103B</t>
  </si>
  <si>
    <t>2034002B</t>
  </si>
  <si>
    <t>1025905B</t>
  </si>
  <si>
    <t>2401201B</t>
  </si>
  <si>
    <t>1002503C</t>
  </si>
  <si>
    <t>2037801B</t>
  </si>
  <si>
    <t>1030203B</t>
  </si>
  <si>
    <t>Dealership Name</t>
  </si>
  <si>
    <t>(Apunar) SSB Automobiles Pvt. Ltd.</t>
  </si>
  <si>
    <t>Singhania Motors Pvt. Ltd.</t>
  </si>
  <si>
    <t>Imperial Vehicles Pvt. Ltd.</t>
  </si>
  <si>
    <t>Brite AutoWheels Pvt. Ltd.</t>
  </si>
  <si>
    <t xml:space="preserve">(Zedex) Shekhawati Electronics Pvt. Ltd. </t>
  </si>
  <si>
    <t>Ring Road Motocorp Pvt. Ltd.</t>
  </si>
  <si>
    <t>Jai Auto Vehicles Pvt. Ltd.</t>
  </si>
  <si>
    <t>BLC Autosales Pvt. Ltd.</t>
  </si>
  <si>
    <t>Sidak Automobiles Pvt. Ltd.</t>
  </si>
  <si>
    <t>Dev Bhoomi Motors Pvt. Ltd.</t>
  </si>
  <si>
    <t>Wheelocity Motors Pvt. Ltd.</t>
  </si>
  <si>
    <t>Elysian Automobile Pvt. Ltd.</t>
  </si>
  <si>
    <t>Saisha Motors Pvt. Ltd.</t>
  </si>
  <si>
    <t xml:space="preserve">Fatehpuria Motocorp Pvt. Ltd. </t>
  </si>
  <si>
    <t>Prem Garages Pvt. Ltd.</t>
  </si>
  <si>
    <t>Commercial Automotives Pvt. Ltd.</t>
  </si>
  <si>
    <t>Avya Automotives</t>
  </si>
  <si>
    <t>PPS Motors Pvt. Ltd.</t>
  </si>
  <si>
    <t>Mahavir Auto Diagnostics Pvt. Ltd.</t>
  </si>
  <si>
    <t>Raja Ganesh Motors LLP</t>
  </si>
  <si>
    <t>Tafe Access Limited</t>
  </si>
  <si>
    <t>Shri Balaji Auto Agency Mysore Pvt. Ltd.</t>
  </si>
  <si>
    <t>EVM Motors &amp; Vehicles India Pvt. Ltd.</t>
  </si>
  <si>
    <t>Gem Phoenix Auto Pvt. Ltd.</t>
  </si>
  <si>
    <t>Kun Motor Enterprises Pvt. Ltd.</t>
  </si>
  <si>
    <t>Gurudev Motors Pvt. Ltd.</t>
  </si>
  <si>
    <t xml:space="preserve">SGA Cars India Pvt. Ltd. </t>
  </si>
  <si>
    <t>S7 Cars India Pvt. Ltd.</t>
  </si>
  <si>
    <t>Aura Motors</t>
  </si>
  <si>
    <t xml:space="preserve">Mody India Cars Pvt. Ltd. </t>
  </si>
  <si>
    <t>KNS Vinayak Autoventures Pvt Ltd</t>
  </si>
  <si>
    <t>Shreenathji Automobiles Pvt. Ltd.</t>
  </si>
  <si>
    <t>(ASM) Ananya Sales Pvt. Ltd.</t>
  </si>
  <si>
    <t>Frontier Cars India Pvt. Ltd.</t>
  </si>
  <si>
    <t>Garve Car Mania Pvt. Ltd.</t>
  </si>
  <si>
    <t>Sarra Motors Pvt. Ltd.</t>
  </si>
  <si>
    <t>Moharir Motors Pvt. Ltd.</t>
  </si>
  <si>
    <t>Akoya Motors Pvt. Ltd.</t>
  </si>
  <si>
    <t>KNS</t>
  </si>
  <si>
    <t>GMB Sales and Service rating &gt;= 4.7</t>
  </si>
  <si>
    <t>Total BDIT Score &gt; 600</t>
  </si>
  <si>
    <t>KNS Vinayak Autoventures Pvt Ltd5957</t>
  </si>
  <si>
    <t>100%</t>
  </si>
  <si>
    <t>BDIT</t>
  </si>
  <si>
    <t>Best Dealer In Town Dashboard</t>
  </si>
  <si>
    <t>Birla Nagar</t>
  </si>
  <si>
    <t>Kandivali</t>
  </si>
  <si>
    <t>Waghle Estate</t>
  </si>
  <si>
    <t>Cuttack</t>
  </si>
  <si>
    <t>Sahibabad</t>
  </si>
  <si>
    <t>Faizabad Road</t>
  </si>
  <si>
    <t>Begum Bazar</t>
  </si>
  <si>
    <t>Industrial Area, Phase 1</t>
  </si>
  <si>
    <t>Hissar</t>
  </si>
  <si>
    <t>Sector 6</t>
  </si>
  <si>
    <t>Rampur Road</t>
  </si>
  <si>
    <t>Dudhli Road</t>
  </si>
  <si>
    <t>Guttkar</t>
  </si>
  <si>
    <t>Verna</t>
  </si>
  <si>
    <t>Goa</t>
  </si>
  <si>
    <t>Meenchantha</t>
  </si>
  <si>
    <t>Pawne</t>
  </si>
  <si>
    <t>MIDC Bhosari</t>
  </si>
  <si>
    <t>Nadathara</t>
  </si>
  <si>
    <t>Anandapur</t>
  </si>
  <si>
    <t>Guindy</t>
  </si>
  <si>
    <t>Ganapathy Nagar</t>
  </si>
  <si>
    <t>Rakshikagarh</t>
  </si>
  <si>
    <t>1041902C</t>
  </si>
  <si>
    <t>Mowa</t>
  </si>
  <si>
    <t>Ring Road</t>
  </si>
  <si>
    <t>Ring road</t>
  </si>
  <si>
    <t>1034605C</t>
  </si>
  <si>
    <t>1001801C</t>
  </si>
  <si>
    <t>1001701A</t>
  </si>
  <si>
    <t>1039301C</t>
  </si>
  <si>
    <t>1041903C</t>
  </si>
  <si>
    <t>1040502C</t>
  </si>
  <si>
    <t>N.K. Motocorp Private Limited</t>
  </si>
  <si>
    <t>NK</t>
  </si>
  <si>
    <t>DOA</t>
  </si>
  <si>
    <t>GMB Rating ( if GMB NA then " ")</t>
  </si>
  <si>
    <t xml:space="preserve"> Central Web-In Lead to Retail (100)</t>
  </si>
  <si>
    <t>Voice of Customer (VOC) (75)</t>
  </si>
  <si>
    <t>Dunac</t>
  </si>
  <si>
    <t>Dunac Autoworld Private Limited</t>
  </si>
  <si>
    <t>VOC</t>
  </si>
  <si>
    <t>Intergrated Volume Bonus</t>
  </si>
  <si>
    <t>N.K. Motocorp Private Limited2706</t>
  </si>
  <si>
    <t>Dunac Autoworld Private Limited2003</t>
  </si>
  <si>
    <t>India-I</t>
  </si>
  <si>
    <t>India-II</t>
  </si>
  <si>
    <t>Kandivali (West)</t>
  </si>
  <si>
    <t>Thane (Mumbai)</t>
  </si>
  <si>
    <t>Kalyan - Bhiwandi Road</t>
  </si>
  <si>
    <t>Viman Nagar</t>
  </si>
  <si>
    <t>Shivpuri Link Road</t>
  </si>
  <si>
    <t>Tandon Road</t>
  </si>
  <si>
    <t>Tarna Shivpur</t>
  </si>
  <si>
    <t>Phase 1</t>
  </si>
  <si>
    <t>Dabwali Road</t>
  </si>
  <si>
    <t>Durga Colony</t>
  </si>
  <si>
    <t>Opposite Nilkanth Dhaba</t>
  </si>
  <si>
    <t>Hisar Bye Pass</t>
  </si>
  <si>
    <t>GT Road</t>
  </si>
  <si>
    <t>Sector 63</t>
  </si>
  <si>
    <t>Greater Noida</t>
  </si>
  <si>
    <t>Arya Nagar</t>
  </si>
  <si>
    <t>Kanth Road</t>
  </si>
  <si>
    <t>Saharanpur Road</t>
  </si>
  <si>
    <t xml:space="preserve">Muvattupuzha </t>
  </si>
  <si>
    <t xml:space="preserve">Thottada </t>
  </si>
  <si>
    <t>Indira Nagar</t>
  </si>
  <si>
    <t>Sector 32</t>
  </si>
  <si>
    <t>Gaurav Path</t>
  </si>
  <si>
    <t>Maihar Bypass Rd.</t>
  </si>
  <si>
    <t>Navi Mumbai(Mumbai)</t>
  </si>
  <si>
    <t>Bhandarkar Road</t>
  </si>
  <si>
    <t>Pimple Gurav</t>
  </si>
  <si>
    <t>Ponnani Road</t>
  </si>
  <si>
    <t>Chamravattam Road</t>
  </si>
  <si>
    <t>AJC Bose Road</t>
  </si>
  <si>
    <t xml:space="preserve">V.I.P Road </t>
  </si>
  <si>
    <t>Sevoke Road</t>
  </si>
  <si>
    <t>Pudukottai Road</t>
  </si>
  <si>
    <t>Anna Nagar</t>
  </si>
  <si>
    <t>Sohna Road</t>
  </si>
  <si>
    <t>South Delhi</t>
  </si>
  <si>
    <t>Sector 15</t>
  </si>
  <si>
    <t>Industrial Area, Phase-I</t>
  </si>
  <si>
    <t>Dhandari Kalan</t>
  </si>
  <si>
    <t>ECR Road</t>
  </si>
  <si>
    <t>Vishakhapatnam</t>
  </si>
  <si>
    <t>Nellore</t>
  </si>
  <si>
    <t>FCI Godowns</t>
  </si>
  <si>
    <t>Rajamahendravaram</t>
  </si>
  <si>
    <t>Guntur</t>
  </si>
  <si>
    <t>Secunderabad</t>
  </si>
  <si>
    <t>Hunter Road</t>
  </si>
  <si>
    <t>Warangal</t>
  </si>
  <si>
    <t>Jubilee Hills</t>
  </si>
  <si>
    <t>Golf Course Road</t>
  </si>
  <si>
    <t>Paschim Vihar</t>
  </si>
  <si>
    <t>Andheri (West)</t>
  </si>
  <si>
    <t>Chembur (West)</t>
  </si>
  <si>
    <t>Rajendra Nagar</t>
  </si>
  <si>
    <t>Ajanta Road</t>
  </si>
  <si>
    <t>Awas Vikas</t>
  </si>
  <si>
    <t>Central MIDC</t>
  </si>
  <si>
    <t>Sai Nagar</t>
  </si>
  <si>
    <t>Yashwant Nagar</t>
  </si>
  <si>
    <t>Renigunta Road</t>
  </si>
  <si>
    <t>Tirupati</t>
  </si>
  <si>
    <t>Kallur Village</t>
  </si>
  <si>
    <t>Kurnool</t>
  </si>
  <si>
    <t>Bengaluru Road</t>
  </si>
  <si>
    <t>Ananthpur</t>
  </si>
  <si>
    <t>New Airport Rd</t>
  </si>
  <si>
    <t>Sira-Tumkur Road</t>
  </si>
  <si>
    <t>Tumkur</t>
  </si>
  <si>
    <t>Ananthpur Road</t>
  </si>
  <si>
    <t>Bellary</t>
  </si>
  <si>
    <t>Humnabad Road</t>
  </si>
  <si>
    <t>Kalaburagi</t>
  </si>
  <si>
    <t>Mysore Road</t>
  </si>
  <si>
    <t>Kalyan Nagar</t>
  </si>
  <si>
    <t>Rajaji Nagar</t>
  </si>
  <si>
    <t>N H Bypass</t>
  </si>
  <si>
    <t>Thiruvananthapuram</t>
  </si>
  <si>
    <t>Bypass Road</t>
  </si>
  <si>
    <t>Kollam</t>
  </si>
  <si>
    <t>Hyder Nagar</t>
  </si>
  <si>
    <t>Nizamabad</t>
  </si>
  <si>
    <t>AS Rao Nagar</t>
  </si>
  <si>
    <t>Financial District</t>
  </si>
  <si>
    <t>City Light Road</t>
  </si>
  <si>
    <t>Charwada Road</t>
  </si>
  <si>
    <t>Salem Road</t>
  </si>
  <si>
    <t>Tonk Road</t>
  </si>
  <si>
    <t>200 Feet Road</t>
  </si>
  <si>
    <t>Vaishali Nagar</t>
  </si>
  <si>
    <t>Jaipur-Jhunjhunu Bypass</t>
  </si>
  <si>
    <t>Riico Industrial Area</t>
  </si>
  <si>
    <t>Chhatrapati Sambhajinagar</t>
  </si>
  <si>
    <t>Dewas Naka</t>
  </si>
  <si>
    <t>Mettupalayam Road</t>
  </si>
  <si>
    <t>Avinashi Road</t>
  </si>
  <si>
    <t>Palladam Main Road</t>
  </si>
  <si>
    <t>Salem Bypass Road</t>
  </si>
  <si>
    <t>Coimbatore Pollachi Road</t>
  </si>
  <si>
    <t>East Delhi</t>
  </si>
  <si>
    <t>Gondal Road</t>
  </si>
  <si>
    <t>Bhesan Chokadi</t>
  </si>
  <si>
    <t>Koorgalli Industrial Area</t>
  </si>
  <si>
    <t>New Kanthraj Road</t>
  </si>
  <si>
    <t>Sangli-Kolhapur Road</t>
  </si>
  <si>
    <t>Pune-Kolhapur Road</t>
  </si>
  <si>
    <t>Line Tank Road</t>
  </si>
  <si>
    <t>Kalpi Road</t>
  </si>
  <si>
    <t>Transport Nagar</t>
  </si>
  <si>
    <t>Mancotta Road</t>
  </si>
  <si>
    <t>Burma Camp</t>
  </si>
  <si>
    <t>Dumas Road</t>
  </si>
  <si>
    <t xml:space="preserve">Chitra </t>
  </si>
  <si>
    <t>Channi Jakat Naka</t>
  </si>
  <si>
    <t>Chikhodara Crossing</t>
  </si>
  <si>
    <t>Puna Canal Road</t>
  </si>
  <si>
    <t>Saguna More</t>
  </si>
  <si>
    <t>Kankarbagh Road</t>
  </si>
  <si>
    <t>Damka Chowk</t>
  </si>
  <si>
    <t>Gaya-Dobhi Road</t>
  </si>
  <si>
    <t>HSR Layout</t>
  </si>
  <si>
    <t>St. Marks Road</t>
  </si>
  <si>
    <t>Shankar Mutta Road</t>
  </si>
  <si>
    <t>Ambala Cantonment</t>
  </si>
  <si>
    <t>Bhagat ki kothi Extension</t>
  </si>
  <si>
    <t>Channi Himmat</t>
  </si>
  <si>
    <t>Phase 7 Industrial Area</t>
  </si>
  <si>
    <t>Mohali</t>
  </si>
  <si>
    <t>Kurukshetra</t>
  </si>
  <si>
    <t>Gandhinagar</t>
  </si>
  <si>
    <t>Magadi Road</t>
  </si>
  <si>
    <t>Supela</t>
  </si>
  <si>
    <t>Bhilai</t>
  </si>
  <si>
    <t xml:space="preserve">Sohiong - A </t>
  </si>
  <si>
    <t>Shillong</t>
  </si>
  <si>
    <t>Delhi Rewari Road</t>
  </si>
  <si>
    <t>Rewari</t>
  </si>
  <si>
    <t>Jalandhar Road</t>
  </si>
  <si>
    <t>Hoshiarpur</t>
  </si>
  <si>
    <t>Ferozepur Road</t>
  </si>
  <si>
    <t>Pargana - Magalsi</t>
  </si>
  <si>
    <t>Ayodhya</t>
  </si>
  <si>
    <t>Geedam Road</t>
  </si>
  <si>
    <t>Jagdalpur</t>
  </si>
  <si>
    <t>Wajegaon</t>
  </si>
  <si>
    <t>Nanded</t>
  </si>
  <si>
    <t>Gangashahar</t>
  </si>
  <si>
    <t>Bikaner</t>
  </si>
  <si>
    <t>Wholesale achievement</t>
  </si>
  <si>
    <t>New Investor</t>
  </si>
  <si>
    <t>FFD 3S</t>
  </si>
  <si>
    <t>FFD 3S Split</t>
  </si>
  <si>
    <t>FFD Workshop only</t>
  </si>
  <si>
    <t>Old Investor</t>
  </si>
  <si>
    <t>3S</t>
  </si>
  <si>
    <t>1S</t>
  </si>
  <si>
    <t>Buglee</t>
  </si>
  <si>
    <t>SCX Sales</t>
  </si>
  <si>
    <t xml:space="preserve"> VOC</t>
  </si>
  <si>
    <t>Additional Bonus</t>
  </si>
  <si>
    <t>Ring Road Motocorp Pvt Ltd</t>
  </si>
  <si>
    <t>Ring Road Motocorp Pvt Ltd2496</t>
  </si>
  <si>
    <t>Unique Automobiles (Cars) Pvt. Ltd</t>
  </si>
  <si>
    <t>Unique</t>
  </si>
  <si>
    <t>Unique Automobiles (Cars) Pvt. Ltd2855</t>
  </si>
  <si>
    <t>Sales Branch</t>
  </si>
  <si>
    <t>Compact 3S Split</t>
  </si>
  <si>
    <t>Compact 3S</t>
  </si>
  <si>
    <t xml:space="preserve">Compact 3S </t>
  </si>
  <si>
    <t>FFD Showroom only</t>
  </si>
  <si>
    <t>Sales branch</t>
  </si>
  <si>
    <t xml:space="preserve"> Escalation Index (75)</t>
  </si>
  <si>
    <t xml:space="preserve"> Escalation Index (50)</t>
  </si>
  <si>
    <t>Not Available</t>
  </si>
  <si>
    <t>Always to be updated</t>
  </si>
  <si>
    <t>Retail Target Ach.</t>
  </si>
  <si>
    <t>Not Applicable</t>
  </si>
  <si>
    <t>Outlet Total Score (500)</t>
  </si>
  <si>
    <t>Krown</t>
  </si>
  <si>
    <t>Krown Mobility Private Limited</t>
  </si>
  <si>
    <t>Krown Mobility Private Limited1102</t>
  </si>
  <si>
    <t>1040701C</t>
  </si>
  <si>
    <t>Morgaon Road</t>
  </si>
  <si>
    <t>Baramati</t>
  </si>
  <si>
    <t>1029603C</t>
  </si>
  <si>
    <t>Remuna</t>
  </si>
  <si>
    <t>Balasore</t>
  </si>
  <si>
    <t>J.K Road</t>
  </si>
  <si>
    <t>Bhopal</t>
  </si>
  <si>
    <t>1042402A</t>
  </si>
  <si>
    <t>Baheriya</t>
  </si>
  <si>
    <t>Sagar</t>
  </si>
  <si>
    <t>Mody_TL</t>
  </si>
  <si>
    <t>2036803A</t>
  </si>
  <si>
    <t>Raidurg</t>
  </si>
  <si>
    <t>1037803A</t>
  </si>
  <si>
    <t>Great Nag Road</t>
  </si>
  <si>
    <t xml:space="preserve"> Mystery Shopping (50)</t>
  </si>
  <si>
    <t>SCX Sales (&gt;=4.6)</t>
  </si>
  <si>
    <t>SCX Sales &gt;=4.6</t>
  </si>
  <si>
    <t>SCX Apr'26</t>
  </si>
  <si>
    <t>KROWN</t>
  </si>
  <si>
    <t>Rau</t>
  </si>
  <si>
    <t>Bannerghatta Road</t>
  </si>
  <si>
    <t>Kundrathur</t>
  </si>
  <si>
    <t>Hoshangabad Road</t>
  </si>
  <si>
    <t>Compact Workshop</t>
  </si>
  <si>
    <t>Fulcrum</t>
  </si>
  <si>
    <t>(Global) Fulcrum Autoline Pvt Ltd</t>
  </si>
  <si>
    <t>1042501A</t>
  </si>
  <si>
    <t>1042503A</t>
  </si>
  <si>
    <t>1042502A</t>
  </si>
  <si>
    <t>2042504C</t>
  </si>
  <si>
    <t>(Global) Fulcrum Autoline Pvt Ltd3258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</si>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</sst>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"/>
    <numFmt numFmtId="167" formatCode="_ [$₹-439]* #,##0.00_ ;_ [$₹-439]* \-#,##0.00_ ;_ [$₹-439]* &quot;-&quot;??_ ;_ @_ "/>
    <numFmt numFmtId="168" formatCode="_ [$₹-4009]\ * #,##0_ ;_ [$₹-4009]\ * \-#,##0_ ;_ [$₹-4009]\ * &quot;-&quot;??_ ;_ @_ "/>
    <numFmt numFmtId="169" formatCode="_ [$₹-439]* #,##0_ ;_ [$₹-439]* \-#,##0_ ;_ [$₹-439]* &quot;-&quot;??_ ;_ @_ "/>
  </numFmts>
  <fonts count="28">
    <font>
      <sz val="11"/>
      <color theme="1"/>
      <name val="SKODA Next"/>
      <family val="2"/>
      <scheme val="minor"/>
    </font>
    <font>
      <sz val="11"/>
      <color theme="1"/>
      <name val="SKODA Next"/>
      <family val="2"/>
      <scheme val="minor"/>
    </font>
    <font>
      <b/>
      <sz val="11"/>
      <color theme="1"/>
      <name val="SKODA Next"/>
      <family val="2"/>
      <scheme val="minor"/>
    </font>
    <font>
      <b/>
      <sz val="12"/>
      <color theme="1"/>
      <name val="SKODA Next"/>
      <family val="2"/>
      <scheme val="minor"/>
    </font>
    <font>
      <sz val="9"/>
      <color theme="1"/>
      <name val="Verdana"/>
      <family val="2"/>
    </font>
    <font>
      <sz val="9"/>
      <color theme="1"/>
      <name val="SKODA Next"/>
      <family val="2"/>
    </font>
    <font>
      <sz val="12"/>
      <color theme="1"/>
      <name val="SKODA Next"/>
      <family val="2"/>
      <scheme val="minor"/>
    </font>
    <font>
      <b/>
      <sz val="9"/>
      <color theme="0"/>
      <name val="Verdana"/>
      <family val="2"/>
    </font>
    <font>
      <sz val="9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0.89999084444715716"/>
      <name val="SKODA Next"/>
      <family val="2"/>
      <scheme val="minor"/>
    </font>
    <font>
      <sz val="11"/>
      <color theme="0"/>
      <name val="SKODA Next"/>
      <family val="2"/>
      <scheme val="minor"/>
    </font>
    <font>
      <b/>
      <sz val="24"/>
      <color theme="4"/>
      <name val="SKODA Next"/>
      <family val="2"/>
    </font>
    <font>
      <b/>
      <sz val="11"/>
      <color theme="0"/>
      <name val="SKODA Next"/>
      <family val="2"/>
      <scheme val="minor"/>
    </font>
    <font>
      <b/>
      <sz val="16"/>
      <color theme="0"/>
      <name val="SKODA Next"/>
      <family val="2"/>
      <scheme val="minor"/>
    </font>
    <font>
      <b/>
      <sz val="10"/>
      <color theme="1"/>
      <name val="SKODA Next"/>
      <family val="2"/>
      <scheme val="minor"/>
    </font>
    <font>
      <sz val="10"/>
      <color theme="1"/>
      <name val="SKODA Next"/>
      <family val="2"/>
      <scheme val="minor"/>
    </font>
    <font>
      <b/>
      <sz val="10"/>
      <color theme="0"/>
      <name val="SKODA Next"/>
      <family val="2"/>
      <scheme val="minor"/>
    </font>
    <font>
      <sz val="10"/>
      <color theme="0"/>
      <name val="SKODA Next"/>
      <family val="2"/>
      <scheme val="minor"/>
    </font>
    <font>
      <b/>
      <sz val="14"/>
      <color theme="0"/>
      <name val="SKODA Next"/>
      <family val="2"/>
      <scheme val="minor"/>
    </font>
    <font>
      <sz val="14"/>
      <color theme="1"/>
      <name val="SKODA Next"/>
      <family val="2"/>
      <scheme val="minor"/>
    </font>
    <font>
      <sz val="12"/>
      <name val="SKODA Next"/>
      <family val="2"/>
      <scheme val="minor"/>
    </font>
    <font>
      <sz val="12"/>
      <color rgb="FF000000"/>
      <name val="SKODA Next"/>
      <family val="2"/>
      <scheme val="minor"/>
    </font>
    <font>
      <b/>
      <sz val="12"/>
      <color theme="0"/>
      <name val="SKODA Next"/>
      <family val="2"/>
      <scheme val="minor"/>
    </font>
    <font>
      <sz val="8"/>
      <name val="SKODA Next"/>
      <family val="2"/>
      <scheme val="minor"/>
    </font>
    <font>
      <sz val="8"/>
      <color theme="1"/>
      <name val="SKODA Next"/>
      <family val="2"/>
      <scheme val="minor"/>
    </font>
    <font>
      <b/>
      <sz val="8"/>
      <color theme="1"/>
      <name val="SKODA Next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499984740745262"/>
        <bgColor indexed="64"/>
      </patternFill>
    </fill>
    <fill>
      <patternFill patternType="solid">
        <fgColor theme="4" tint="0.8999908444471571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BA8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74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/>
    <xf numFmtId="0" fontId="4" fillId="0" borderId="5" xfId="1" applyFont="1" applyBorder="1" applyAlignment="1">
      <alignment horizontal="center" vertical="center"/>
    </xf>
    <xf numFmtId="0" fontId="7" fillId="4" borderId="5" xfId="1" applyFont="1" applyFill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4" fillId="0" borderId="5" xfId="1" applyFont="1" applyBorder="1" applyAlignment="1">
      <alignment horizontal="center" wrapText="1"/>
    </xf>
    <xf numFmtId="1" fontId="4" fillId="0" borderId="5" xfId="1" applyNumberFormat="1" applyFont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7" fillId="4" borderId="5" xfId="1" applyFont="1" applyFill="1" applyBorder="1" applyAlignment="1">
      <alignment horizontal="center" vertical="center"/>
    </xf>
    <xf numFmtId="0" fontId="0" fillId="6" borderId="0" xfId="0" applyFill="1"/>
    <xf numFmtId="0" fontId="12" fillId="6" borderId="0" xfId="0" applyFont="1" applyFill="1" applyProtection="1">
      <protection locked="0" hidden="1"/>
    </xf>
    <xf numFmtId="0" fontId="0" fillId="0" borderId="0" xfId="0" applyProtection="1">
      <protection locked="0" hidden="1"/>
    </xf>
    <xf numFmtId="0" fontId="0" fillId="6" borderId="0" xfId="0" applyFill="1" applyProtection="1">
      <protection locked="0" hidden="1"/>
    </xf>
    <xf numFmtId="1" fontId="0" fillId="6" borderId="0" xfId="0" applyNumberFormat="1" applyFill="1" applyAlignment="1" applyProtection="1">
      <alignment horizontal="center"/>
      <protection locked="0" hidden="1"/>
    </xf>
    <xf numFmtId="0" fontId="0" fillId="6" borderId="0" xfId="0" applyFill="1" applyAlignment="1" applyProtection="1">
      <alignment horizontal="center"/>
      <protection locked="0" hidden="1"/>
    </xf>
    <xf numFmtId="9" fontId="4" fillId="0" borderId="5" xfId="3" applyFont="1" applyBorder="1" applyAlignment="1">
      <alignment horizontal="center" vertical="center"/>
    </xf>
    <xf numFmtId="2" fontId="4" fillId="0" borderId="5" xfId="3" applyNumberFormat="1" applyFont="1" applyBorder="1" applyAlignment="1">
      <alignment horizontal="center" vertical="center"/>
    </xf>
    <xf numFmtId="166" fontId="4" fillId="0" borderId="5" xfId="1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center"/>
    </xf>
    <xf numFmtId="167" fontId="4" fillId="0" borderId="5" xfId="4" applyNumberFormat="1" applyFont="1" applyBorder="1" applyAlignment="1">
      <alignment horizontal="center" vertical="center"/>
    </xf>
    <xf numFmtId="168" fontId="0" fillId="9" borderId="13" xfId="0" applyNumberFormat="1" applyFill="1" applyBorder="1" applyAlignment="1">
      <alignment horizontal="center"/>
    </xf>
    <xf numFmtId="0" fontId="0" fillId="9" borderId="0" xfId="0" applyFill="1"/>
    <xf numFmtId="0" fontId="4" fillId="0" borderId="5" xfId="1" applyFont="1" applyBorder="1" applyAlignment="1">
      <alignment horizontal="left"/>
    </xf>
    <xf numFmtId="0" fontId="5" fillId="0" borderId="5" xfId="1" applyFont="1" applyBorder="1" applyAlignment="1">
      <alignment horizontal="left"/>
    </xf>
    <xf numFmtId="0" fontId="4" fillId="0" borderId="5" xfId="1" applyFont="1" applyBorder="1" applyAlignment="1">
      <alignment horizontal="left" vertical="center"/>
    </xf>
    <xf numFmtId="0" fontId="16" fillId="8" borderId="21" xfId="0" applyFont="1" applyFill="1" applyBorder="1" applyAlignment="1">
      <alignment horizontal="left" vertical="center"/>
    </xf>
    <xf numFmtId="0" fontId="18" fillId="7" borderId="18" xfId="0" applyFont="1" applyFill="1" applyBorder="1" applyAlignment="1">
      <alignment horizontal="center" vertical="center"/>
    </xf>
    <xf numFmtId="0" fontId="18" fillId="7" borderId="19" xfId="0" applyFont="1" applyFill="1" applyBorder="1" applyAlignment="1">
      <alignment horizontal="center" vertical="center"/>
    </xf>
    <xf numFmtId="0" fontId="18" fillId="7" borderId="20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left" vertical="center"/>
    </xf>
    <xf numFmtId="0" fontId="17" fillId="6" borderId="12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left" vertical="center"/>
    </xf>
    <xf numFmtId="0" fontId="19" fillId="7" borderId="12" xfId="0" applyFont="1" applyFill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9" fontId="18" fillId="7" borderId="12" xfId="3" applyFont="1" applyFill="1" applyBorder="1" applyAlignment="1">
      <alignment horizontal="center" vertical="center"/>
    </xf>
    <xf numFmtId="9" fontId="18" fillId="7" borderId="5" xfId="3" applyFont="1" applyFill="1" applyBorder="1" applyAlignment="1">
      <alignment horizontal="center" vertical="center"/>
    </xf>
    <xf numFmtId="1" fontId="16" fillId="6" borderId="10" xfId="0" applyNumberFormat="1" applyFont="1" applyFill="1" applyBorder="1" applyAlignment="1">
      <alignment horizontal="center" vertical="center"/>
    </xf>
    <xf numFmtId="0" fontId="18" fillId="7" borderId="14" xfId="0" applyFont="1" applyFill="1" applyBorder="1" applyAlignment="1">
      <alignment horizontal="center" vertical="center"/>
    </xf>
    <xf numFmtId="0" fontId="19" fillId="7" borderId="9" xfId="0" applyFont="1" applyFill="1" applyBorder="1" applyAlignment="1">
      <alignment horizontal="center" vertical="center"/>
    </xf>
    <xf numFmtId="0" fontId="17" fillId="6" borderId="12" xfId="0" applyFont="1" applyFill="1" applyBorder="1" applyAlignment="1">
      <alignment horizontal="left" vertical="center"/>
    </xf>
    <xf numFmtId="0" fontId="19" fillId="7" borderId="12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6" borderId="0" xfId="0" quotePrefix="1" applyFill="1" applyProtection="1">
      <protection locked="0" hidden="1"/>
    </xf>
    <xf numFmtId="0" fontId="16" fillId="6" borderId="17" xfId="0" applyFont="1" applyFill="1" applyBorder="1" applyAlignment="1">
      <alignment horizontal="left" vertical="center"/>
    </xf>
    <xf numFmtId="0" fontId="16" fillId="6" borderId="10" xfId="0" applyFont="1" applyFill="1" applyBorder="1" applyAlignment="1">
      <alignment horizontal="left" vertical="center"/>
    </xf>
    <xf numFmtId="9" fontId="4" fillId="0" borderId="5" xfId="0" applyNumberFormat="1" applyFont="1" applyBorder="1" applyAlignment="1">
      <alignment horizontal="center"/>
    </xf>
    <xf numFmtId="0" fontId="0" fillId="11" borderId="0" xfId="0" applyFill="1"/>
    <xf numFmtId="0" fontId="4" fillId="11" borderId="5" xfId="1" applyFont="1" applyFill="1" applyBorder="1" applyAlignment="1">
      <alignment horizontal="left"/>
    </xf>
    <xf numFmtId="0" fontId="0" fillId="11" borderId="5" xfId="0" applyFill="1" applyBorder="1" applyAlignment="1">
      <alignment horizontal="center"/>
    </xf>
    <xf numFmtId="0" fontId="0" fillId="11" borderId="5" xfId="0" applyFill="1" applyBorder="1"/>
    <xf numFmtId="0" fontId="4" fillId="11" borderId="5" xfId="1" applyFont="1" applyFill="1" applyBorder="1" applyAlignment="1">
      <alignment horizontal="left" vertical="center"/>
    </xf>
    <xf numFmtId="0" fontId="2" fillId="12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4" fillId="14" borderId="5" xfId="1" applyFont="1" applyFill="1" applyBorder="1" applyAlignment="1">
      <alignment horizontal="left" vertical="center"/>
    </xf>
    <xf numFmtId="0" fontId="14" fillId="15" borderId="5" xfId="0" applyFont="1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1" fontId="4" fillId="16" borderId="5" xfId="1" applyNumberFormat="1" applyFont="1" applyFill="1" applyBorder="1" applyAlignment="1">
      <alignment horizontal="center" vertical="center"/>
    </xf>
    <xf numFmtId="0" fontId="3" fillId="3" borderId="0" xfId="0" applyFont="1" applyFill="1"/>
    <xf numFmtId="0" fontId="0" fillId="3" borderId="2" xfId="0" applyFill="1" applyBorder="1"/>
    <xf numFmtId="0" fontId="0" fillId="3" borderId="4" xfId="0" applyFill="1" applyBorder="1"/>
    <xf numFmtId="0" fontId="0" fillId="3" borderId="26" xfId="0" applyFill="1" applyBorder="1"/>
    <xf numFmtId="0" fontId="0" fillId="3" borderId="27" xfId="0" applyFill="1" applyBorder="1"/>
    <xf numFmtId="0" fontId="11" fillId="3" borderId="26" xfId="0" applyFont="1" applyFill="1" applyBorder="1"/>
    <xf numFmtId="0" fontId="17" fillId="6" borderId="12" xfId="0" applyFont="1" applyFill="1" applyBorder="1" applyAlignment="1" applyProtection="1">
      <alignment vertical="center"/>
      <protection locked="0" hidden="1"/>
    </xf>
    <xf numFmtId="0" fontId="17" fillId="6" borderId="10" xfId="0" applyFont="1" applyFill="1" applyBorder="1" applyAlignment="1" applyProtection="1">
      <alignment vertical="center"/>
      <protection locked="0" hidden="1"/>
    </xf>
    <xf numFmtId="9" fontId="17" fillId="6" borderId="13" xfId="0" applyNumberFormat="1" applyFont="1" applyFill="1" applyBorder="1" applyAlignment="1">
      <alignment horizontal="center" vertical="center"/>
    </xf>
    <xf numFmtId="9" fontId="4" fillId="13" borderId="5" xfId="3" applyFont="1" applyFill="1" applyBorder="1" applyAlignment="1">
      <alignment horizontal="center" vertical="center"/>
    </xf>
    <xf numFmtId="14" fontId="4" fillId="0" borderId="5" xfId="1" applyNumberFormat="1" applyFont="1" applyBorder="1" applyAlignment="1">
      <alignment horizontal="center" vertical="center"/>
    </xf>
    <xf numFmtId="166" fontId="16" fillId="6" borderId="10" xfId="0" applyNumberFormat="1" applyFont="1" applyFill="1" applyBorder="1" applyAlignment="1">
      <alignment horizontal="center" vertical="center"/>
    </xf>
    <xf numFmtId="0" fontId="21" fillId="9" borderId="9" xfId="0" applyFont="1" applyFill="1" applyBorder="1"/>
    <xf numFmtId="168" fontId="21" fillId="9" borderId="11" xfId="0" applyNumberFormat="1" applyFont="1" applyFill="1" applyBorder="1" applyAlignment="1">
      <alignment horizontal="center"/>
    </xf>
    <xf numFmtId="0" fontId="21" fillId="9" borderId="12" xfId="0" applyFont="1" applyFill="1" applyBorder="1"/>
    <xf numFmtId="168" fontId="21" fillId="9" borderId="13" xfId="0" applyNumberFormat="1" applyFont="1" applyFill="1" applyBorder="1" applyAlignment="1">
      <alignment horizontal="center"/>
    </xf>
    <xf numFmtId="0" fontId="20" fillId="10" borderId="10" xfId="0" applyFont="1" applyFill="1" applyBorder="1"/>
    <xf numFmtId="168" fontId="20" fillId="10" borderId="15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8" fillId="7" borderId="30" xfId="0" applyFont="1" applyFill="1" applyBorder="1" applyAlignment="1">
      <alignment horizontal="center" vertical="center"/>
    </xf>
    <xf numFmtId="0" fontId="18" fillId="7" borderId="31" xfId="0" applyFont="1" applyFill="1" applyBorder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169" fontId="0" fillId="0" borderId="0" xfId="0" applyNumberFormat="1"/>
    <xf numFmtId="0" fontId="22" fillId="6" borderId="5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22" fillId="13" borderId="5" xfId="0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/>
    </xf>
    <xf numFmtId="0" fontId="22" fillId="6" borderId="5" xfId="0" applyFont="1" applyFill="1" applyBorder="1" applyAlignment="1" applyProtection="1">
      <alignment horizontal="center" vertical="center"/>
      <protection locked="0" hidden="1"/>
    </xf>
    <xf numFmtId="0" fontId="22" fillId="13" borderId="5" xfId="0" applyFont="1" applyFill="1" applyBorder="1" applyAlignment="1" applyProtection="1">
      <alignment horizontal="center" vertical="center"/>
      <protection locked="0" hidden="1"/>
    </xf>
    <xf numFmtId="0" fontId="0" fillId="6" borderId="5" xfId="0" applyFill="1" applyBorder="1" applyAlignment="1">
      <alignment vertical="center"/>
    </xf>
    <xf numFmtId="0" fontId="22" fillId="6" borderId="5" xfId="0" applyFont="1" applyFill="1" applyBorder="1" applyAlignment="1">
      <alignment horizontal="left" vertical="center"/>
    </xf>
    <xf numFmtId="0" fontId="6" fillId="6" borderId="5" xfId="0" applyFont="1" applyFill="1" applyBorder="1" applyAlignment="1">
      <alignment horizontal="left" vertical="center"/>
    </xf>
    <xf numFmtId="0" fontId="22" fillId="13" borderId="5" xfId="0" applyFont="1" applyFill="1" applyBorder="1" applyAlignment="1">
      <alignment horizontal="left" vertical="center"/>
    </xf>
    <xf numFmtId="0" fontId="24" fillId="17" borderId="5" xfId="0" applyFont="1" applyFill="1" applyBorder="1" applyAlignment="1">
      <alignment horizontal="center" vertical="center"/>
    </xf>
    <xf numFmtId="0" fontId="24" fillId="17" borderId="5" xfId="0" applyFont="1" applyFill="1" applyBorder="1" applyAlignment="1">
      <alignment horizontal="left" vertical="center"/>
    </xf>
    <xf numFmtId="0" fontId="22" fillId="6" borderId="5" xfId="0" applyFont="1" applyFill="1" applyBorder="1" applyAlignment="1" applyProtection="1">
      <alignment horizontal="left" vertical="center"/>
      <protection locked="0"/>
    </xf>
    <xf numFmtId="0" fontId="4" fillId="18" borderId="5" xfId="1" applyFont="1" applyFill="1" applyBorder="1" applyAlignment="1">
      <alignment horizontal="center" vertical="center" wrapText="1"/>
    </xf>
    <xf numFmtId="0" fontId="4" fillId="0" borderId="5" xfId="1" applyFont="1" applyBorder="1" applyAlignment="1">
      <alignment horizontal="left" vertical="center" wrapText="1"/>
    </xf>
    <xf numFmtId="0" fontId="4" fillId="0" borderId="5" xfId="1" applyFont="1" applyBorder="1" applyAlignment="1">
      <alignment horizontal="left" wrapText="1"/>
    </xf>
    <xf numFmtId="0" fontId="4" fillId="18" borderId="5" xfId="1" applyFont="1" applyFill="1" applyBorder="1" applyAlignment="1">
      <alignment horizontal="left" vertical="center" wrapText="1"/>
    </xf>
    <xf numFmtId="0" fontId="4" fillId="19" borderId="5" xfId="1" applyFont="1" applyFill="1" applyBorder="1" applyAlignment="1">
      <alignment horizontal="left" vertical="center" wrapText="1"/>
    </xf>
    <xf numFmtId="0" fontId="0" fillId="19" borderId="33" xfId="0" applyFill="1" applyBorder="1"/>
    <xf numFmtId="0" fontId="0" fillId="19" borderId="33" xfId="0" applyFill="1" applyBorder="1" applyAlignment="1">
      <alignment horizontal="center"/>
    </xf>
    <xf numFmtId="0" fontId="4" fillId="20" borderId="5" xfId="1" applyFont="1" applyFill="1" applyBorder="1" applyAlignment="1">
      <alignment horizontal="center" vertical="center" wrapText="1"/>
    </xf>
    <xf numFmtId="0" fontId="4" fillId="20" borderId="5" xfId="1" applyFont="1" applyFill="1" applyBorder="1" applyAlignment="1">
      <alignment horizontal="left" vertical="center" wrapText="1"/>
    </xf>
    <xf numFmtId="0" fontId="8" fillId="20" borderId="5" xfId="1" applyFont="1" applyFill="1" applyBorder="1" applyAlignment="1">
      <alignment horizontal="center" vertical="center"/>
    </xf>
    <xf numFmtId="0" fontId="4" fillId="20" borderId="5" xfId="1" applyFont="1" applyFill="1" applyBorder="1" applyAlignment="1">
      <alignment horizontal="center" vertical="center"/>
    </xf>
    <xf numFmtId="1" fontId="4" fillId="20" borderId="5" xfId="1" applyNumberFormat="1" applyFont="1" applyFill="1" applyBorder="1" applyAlignment="1">
      <alignment horizontal="center" vertical="center"/>
    </xf>
    <xf numFmtId="9" fontId="4" fillId="20" borderId="5" xfId="3" applyFont="1" applyFill="1" applyBorder="1" applyAlignment="1">
      <alignment horizontal="center" vertical="center"/>
    </xf>
    <xf numFmtId="2" fontId="4" fillId="20" borderId="5" xfId="3" applyNumberFormat="1" applyFont="1" applyFill="1" applyBorder="1" applyAlignment="1">
      <alignment horizontal="center" vertical="center"/>
    </xf>
    <xf numFmtId="2" fontId="4" fillId="0" borderId="5" xfId="1" applyNumberFormat="1" applyFont="1" applyBorder="1" applyAlignment="1">
      <alignment horizontal="center" vertical="center"/>
    </xf>
    <xf numFmtId="1" fontId="4" fillId="0" borderId="5" xfId="3" applyNumberFormat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 wrapText="1"/>
    </xf>
    <xf numFmtId="0" fontId="1" fillId="13" borderId="5" xfId="0" applyFont="1" applyFill="1" applyBorder="1" applyAlignment="1">
      <alignment horizontal="left" vertical="center"/>
    </xf>
    <xf numFmtId="9" fontId="0" fillId="0" borderId="0" xfId="3" applyFont="1" applyAlignment="1">
      <alignment horizontal="center"/>
    </xf>
    <xf numFmtId="0" fontId="6" fillId="3" borderId="0" xfId="0" applyFont="1" applyFill="1"/>
    <xf numFmtId="0" fontId="0" fillId="0" borderId="12" xfId="0" applyBorder="1" applyAlignment="1">
      <alignment horizontal="center"/>
    </xf>
    <xf numFmtId="1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4" fillId="21" borderId="5" xfId="1" applyNumberFormat="1" applyFont="1" applyFill="1" applyBorder="1" applyAlignment="1">
      <alignment horizontal="center" vertical="center"/>
    </xf>
    <xf numFmtId="0" fontId="4" fillId="0" borderId="5" xfId="3" applyNumberFormat="1" applyFont="1" applyBorder="1" applyAlignment="1">
      <alignment horizontal="center" vertical="center"/>
    </xf>
    <xf numFmtId="10" fontId="4" fillId="0" borderId="5" xfId="3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9" fontId="17" fillId="6" borderId="15" xfId="0" applyNumberFormat="1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vertical="center"/>
    </xf>
    <xf numFmtId="0" fontId="17" fillId="6" borderId="32" xfId="0" applyFont="1" applyFill="1" applyBorder="1" applyAlignment="1" applyProtection="1">
      <alignment vertical="center"/>
      <protection locked="0" hidden="1"/>
    </xf>
    <xf numFmtId="0" fontId="17" fillId="6" borderId="36" xfId="0" applyFont="1" applyFill="1" applyBorder="1" applyAlignment="1" applyProtection="1">
      <alignment vertical="center"/>
      <protection locked="0" hidden="1"/>
    </xf>
    <xf numFmtId="0" fontId="0" fillId="3" borderId="0" xfId="0" applyFill="1" applyAlignment="1">
      <alignment wrapText="1"/>
    </xf>
    <xf numFmtId="0" fontId="26" fillId="3" borderId="0" xfId="0" applyFont="1" applyFill="1"/>
    <xf numFmtId="0" fontId="16" fillId="8" borderId="9" xfId="0" applyFont="1" applyFill="1" applyBorder="1" applyAlignment="1">
      <alignment horizontal="left" vertical="center"/>
    </xf>
    <xf numFmtId="166" fontId="16" fillId="8" borderId="14" xfId="0" applyNumberFormat="1" applyFont="1" applyFill="1" applyBorder="1" applyAlignment="1">
      <alignment horizontal="center" vertical="center"/>
    </xf>
    <xf numFmtId="166" fontId="16" fillId="8" borderId="11" xfId="0" applyNumberFormat="1" applyFont="1" applyFill="1" applyBorder="1" applyAlignment="1">
      <alignment horizontal="center" vertical="center"/>
    </xf>
    <xf numFmtId="0" fontId="16" fillId="8" borderId="10" xfId="0" applyFont="1" applyFill="1" applyBorder="1" applyAlignment="1">
      <alignment horizontal="left" vertical="center"/>
    </xf>
    <xf numFmtId="2" fontId="16" fillId="8" borderId="37" xfId="0" applyNumberFormat="1" applyFont="1" applyFill="1" applyBorder="1" applyAlignment="1">
      <alignment horizontal="center" vertical="center"/>
    </xf>
    <xf numFmtId="2" fontId="16" fillId="8" borderId="15" xfId="0" applyNumberFormat="1" applyFont="1" applyFill="1" applyBorder="1" applyAlignment="1">
      <alignment horizontal="center" vertical="center"/>
    </xf>
    <xf numFmtId="0" fontId="27" fillId="3" borderId="0" xfId="0" applyFont="1" applyFill="1"/>
    <xf numFmtId="165" fontId="4" fillId="0" borderId="5" xfId="5" applyFont="1" applyBorder="1" applyAlignment="1">
      <alignment horizontal="center" vertical="center"/>
    </xf>
    <xf numFmtId="10" fontId="0" fillId="0" borderId="0" xfId="0" applyNumberFormat="1"/>
    <xf numFmtId="2" fontId="16" fillId="8" borderId="9" xfId="0" applyNumberFormat="1" applyFont="1" applyFill="1" applyBorder="1" applyAlignment="1">
      <alignment horizontal="center" vertical="center"/>
    </xf>
    <xf numFmtId="167" fontId="0" fillId="0" borderId="0" xfId="0" applyNumberFormat="1"/>
    <xf numFmtId="0" fontId="0" fillId="6" borderId="0" xfId="0" applyFill="1" applyAlignment="1" applyProtection="1">
      <alignment horizontal="left"/>
      <protection locked="0" hidden="1"/>
    </xf>
    <xf numFmtId="2" fontId="0" fillId="6" borderId="0" xfId="0" applyNumberFormat="1" applyFill="1" applyAlignment="1" applyProtection="1">
      <alignment horizontal="center"/>
      <protection locked="0" hidden="1"/>
    </xf>
    <xf numFmtId="9" fontId="0" fillId="6" borderId="0" xfId="0" applyNumberFormat="1" applyFill="1" applyAlignment="1" applyProtection="1">
      <alignment horizontal="center"/>
      <protection locked="0" hidden="1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left"/>
    </xf>
    <xf numFmtId="0" fontId="6" fillId="5" borderId="8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26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0" fillId="0" borderId="34" xfId="0" applyBorder="1" applyAlignment="1">
      <alignment horizontal="center"/>
    </xf>
    <xf numFmtId="0" fontId="20" fillId="7" borderId="24" xfId="0" applyFont="1" applyFill="1" applyBorder="1" applyAlignment="1">
      <alignment horizontal="center" vertical="center"/>
    </xf>
    <xf numFmtId="0" fontId="20" fillId="7" borderId="25" xfId="0" applyFont="1" applyFill="1" applyBorder="1" applyAlignment="1">
      <alignment horizontal="center" vertical="center"/>
    </xf>
    <xf numFmtId="0" fontId="15" fillId="7" borderId="2" xfId="0" applyFont="1" applyFill="1" applyBorder="1" applyAlignment="1">
      <alignment horizontal="center"/>
    </xf>
    <xf numFmtId="0" fontId="15" fillId="7" borderId="3" xfId="0" applyFont="1" applyFill="1" applyBorder="1" applyAlignment="1">
      <alignment horizontal="center"/>
    </xf>
    <xf numFmtId="0" fontId="15" fillId="7" borderId="4" xfId="0" applyFont="1" applyFill="1" applyBorder="1" applyAlignment="1">
      <alignment horizontal="center"/>
    </xf>
    <xf numFmtId="0" fontId="15" fillId="7" borderId="21" xfId="0" applyFont="1" applyFill="1" applyBorder="1" applyAlignment="1">
      <alignment horizontal="center"/>
    </xf>
    <xf numFmtId="0" fontId="15" fillId="7" borderId="22" xfId="0" applyFont="1" applyFill="1" applyBorder="1" applyAlignment="1">
      <alignment horizontal="center"/>
    </xf>
    <xf numFmtId="0" fontId="15" fillId="7" borderId="23" xfId="0" applyFont="1" applyFill="1" applyBorder="1" applyAlignment="1">
      <alignment horizontal="center"/>
    </xf>
    <xf numFmtId="1" fontId="16" fillId="6" borderId="21" xfId="0" applyNumberFormat="1" applyFont="1" applyFill="1" applyBorder="1" applyAlignment="1">
      <alignment horizontal="center" vertical="center"/>
    </xf>
    <xf numFmtId="1" fontId="16" fillId="6" borderId="22" xfId="0" applyNumberFormat="1" applyFont="1" applyFill="1" applyBorder="1" applyAlignment="1">
      <alignment horizontal="center" vertical="center"/>
    </xf>
    <xf numFmtId="1" fontId="16" fillId="6" borderId="23" xfId="0" applyNumberFormat="1" applyFont="1" applyFill="1" applyBorder="1" applyAlignment="1">
      <alignment horizontal="center" vertical="center"/>
    </xf>
    <xf numFmtId="1" fontId="16" fillId="6" borderId="21" xfId="0" applyNumberFormat="1" applyFont="1" applyFill="1" applyBorder="1" applyAlignment="1">
      <alignment horizontal="center"/>
    </xf>
    <xf numFmtId="0" fontId="16" fillId="6" borderId="22" xfId="0" applyFont="1" applyFill="1" applyBorder="1" applyAlignment="1">
      <alignment horizontal="center"/>
    </xf>
    <xf numFmtId="0" fontId="16" fillId="6" borderId="23" xfId="0" applyFont="1" applyFill="1" applyBorder="1" applyAlignment="1">
      <alignment horizontal="center"/>
    </xf>
    <xf numFmtId="0" fontId="16" fillId="2" borderId="28" xfId="0" applyFont="1" applyFill="1" applyBorder="1" applyAlignment="1">
      <alignment horizontal="left" vertical="center"/>
    </xf>
    <xf numFmtId="0" fontId="16" fillId="2" borderId="29" xfId="0" applyFont="1" applyFill="1" applyBorder="1" applyAlignment="1">
      <alignment horizontal="left" vertical="center"/>
    </xf>
  </cellXfs>
  <cellStyles count="6">
    <cellStyle name="Comma" xfId="5" builtinId="3"/>
    <cellStyle name="Currency" xfId="4" builtinId="4"/>
    <cellStyle name="Normal" xfId="0" builtinId="0"/>
    <cellStyle name="Normal 2" xfId="1" xr:uid="{51FCE30D-656A-4F9B-80C5-4E9E275471DF}"/>
    <cellStyle name="Normal 3" xfId="2" xr:uid="{39E88DEC-5050-4F84-8211-46B07EC8F865}"/>
    <cellStyle name="Percent" xfId="3" builtinId="5"/>
  </cellStyles>
  <dxfs count="186">
    <dxf>
      <alignment horizontal="center"/>
    </dxf>
    <dxf>
      <alignment horizontal="center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numFmt numFmtId="1" formatCode="0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[BDIT Apr'26-Dashboard.xlsm]Pivot_Master!PivotTable4</c:name>
    <c:fmtId val="6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GMB Sales</a:t>
            </a:r>
          </a:p>
        </c:rich>
      </c:tx>
      <c:layout>
        <c:manualLayout>
          <c:xMode val="edge"/>
          <c:yMode val="edge"/>
          <c:x val="0.25914083096576168"/>
          <c:y val="2.6239845027162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55526823478275411"/>
          <c:y val="0.13821777486147566"/>
          <c:w val="3.2967885383753781E-2"/>
          <c:h val="0.7549686497521143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Pivot_Master!$AE$4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Pivot_Master!$AD$5:$AD$11</c:f>
              <c:strCache>
                <c:ptCount val="7"/>
                <c:pt idx="0">
                  <c:v>10118</c:v>
                </c:pt>
                <c:pt idx="1">
                  <c:v>20039</c:v>
                </c:pt>
                <c:pt idx="2">
                  <c:v>20061</c:v>
                </c:pt>
                <c:pt idx="3">
                  <c:v>23039</c:v>
                </c:pt>
                <c:pt idx="4">
                  <c:v>1011801C</c:v>
                </c:pt>
                <c:pt idx="5">
                  <c:v>2003901A</c:v>
                </c:pt>
                <c:pt idx="6">
                  <c:v>2303901A</c:v>
                </c:pt>
              </c:strCache>
            </c:strRef>
          </c:cat>
          <c:val>
            <c:numRef>
              <c:f>Pivot_Master!$AE$5:$AE$11</c:f>
              <c:numCache>
                <c:formatCode>0.00</c:formatCode>
                <c:ptCount val="7"/>
                <c:pt idx="0">
                  <c:v>4.5999999999999996</c:v>
                </c:pt>
                <c:pt idx="1">
                  <c:v>4.7</c:v>
                </c:pt>
                <c:pt idx="2">
                  <c:v>4.7</c:v>
                </c:pt>
                <c:pt idx="3">
                  <c:v>4.5999999999999996</c:v>
                </c:pt>
                <c:pt idx="4">
                  <c:v>4.8</c:v>
                </c:pt>
                <c:pt idx="5">
                  <c:v>4.8</c:v>
                </c:pt>
                <c:pt idx="6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71-46D4-93DD-AC8C74E979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41349839"/>
        <c:axId val="2141342159"/>
      </c:barChart>
      <c:catAx>
        <c:axId val="21413498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1342159"/>
        <c:crosses val="autoZero"/>
        <c:auto val="1"/>
        <c:lblAlgn val="ctr"/>
        <c:lblOffset val="100"/>
        <c:noMultiLvlLbl val="0"/>
      </c:catAx>
      <c:valAx>
        <c:axId val="2141342159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14134983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[BDIT Apr'26-Dashboard.xlsm]Pivot_Master!PivotTable5</c:name>
    <c:fmtId val="4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GMB Service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4871922655237717"/>
          <c:y val="0.17742198891805191"/>
          <c:w val="2.6019848784724693E-2"/>
          <c:h val="0.737748614756488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Pivot_Master!$AH$4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Pivot_Master!$AG$5:$AG$9</c:f>
              <c:strCache>
                <c:ptCount val="5"/>
                <c:pt idx="0">
                  <c:v>10118</c:v>
                </c:pt>
                <c:pt idx="1">
                  <c:v>20061</c:v>
                </c:pt>
                <c:pt idx="2">
                  <c:v>23039</c:v>
                </c:pt>
                <c:pt idx="3">
                  <c:v>10039</c:v>
                </c:pt>
                <c:pt idx="4">
                  <c:v>20421</c:v>
                </c:pt>
              </c:strCache>
            </c:strRef>
          </c:cat>
          <c:val>
            <c:numRef>
              <c:f>Pivot_Master!$AH$5:$AH$9</c:f>
              <c:numCache>
                <c:formatCode>0.00</c:formatCode>
                <c:ptCount val="5"/>
                <c:pt idx="0">
                  <c:v>4.5999999999999996</c:v>
                </c:pt>
                <c:pt idx="1">
                  <c:v>4.7</c:v>
                </c:pt>
                <c:pt idx="2">
                  <c:v>4.5999999999999996</c:v>
                </c:pt>
                <c:pt idx="3">
                  <c:v>4.5999999999999996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DA-40ED-9AFC-936725294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48758959"/>
        <c:axId val="648754159"/>
      </c:barChart>
      <c:catAx>
        <c:axId val="6487589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54159"/>
        <c:crosses val="autoZero"/>
        <c:auto val="1"/>
        <c:lblAlgn val="ctr"/>
        <c:lblOffset val="100"/>
        <c:noMultiLvlLbl val="0"/>
      </c:catAx>
      <c:valAx>
        <c:axId val="648754159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648758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701040</xdr:colOff>
          <xdr:row>11</xdr:row>
          <xdr:rowOff>68580</xdr:rowOff>
        </xdr:from>
        <xdr:to>
          <xdr:col>7</xdr:col>
          <xdr:colOff>937260</xdr:colOff>
          <xdr:row>16</xdr:row>
          <xdr:rowOff>45720</xdr:rowOff>
        </xdr:to>
        <xdr:pic>
          <xdr:nvPicPr>
            <xdr:cNvPr id="48890" name="Picture 7">
              <a:extLst>
                <a:ext uri="{FF2B5EF4-FFF2-40B4-BE49-F238E27FC236}">
                  <a16:creationId xmlns:a16="http://schemas.microsoft.com/office/drawing/2014/main" id="{683E3C39-640D-AE2B-C50F-570CA9FF6CF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1!$B$35:$C$39" spid="_x0000_s489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491740" y="2179320"/>
              <a:ext cx="2926080" cy="853440"/>
            </a:xfrm>
            <a:prstGeom prst="rect">
              <a:avLst/>
            </a:prstGeom>
            <a:noFill/>
            <a:effectLst>
              <a:outerShdw dist="38100" dir="5400000" algn="t" rotWithShape="0">
                <a:srgbClr val="000000">
                  <a:alpha val="39999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152422</xdr:colOff>
          <xdr:row>17</xdr:row>
          <xdr:rowOff>26263</xdr:rowOff>
        </xdr:from>
        <xdr:to>
          <xdr:col>16384</xdr:col>
          <xdr:colOff>3286147</xdr:colOff>
          <xdr:row>31</xdr:row>
          <xdr:rowOff>35788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FC6EA883-B7D4-AC58-6079-54690FFB8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1!$B$4:$M$17" spid="_x0000_s4890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2422" y="3140938"/>
              <a:ext cx="17030700" cy="2533650"/>
            </a:xfrm>
            <a:prstGeom prst="rect">
              <a:avLst/>
            </a:prstGeom>
            <a:ln>
              <a:noFill/>
            </a:ln>
            <a:effectLst>
              <a:outerShdw blurRad="190500" algn="tl" rotWithShape="0">
                <a:srgbClr val="000000">
                  <a:alpha val="70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91440</xdr:colOff>
          <xdr:row>3</xdr:row>
          <xdr:rowOff>12983</xdr:rowOff>
        </xdr:from>
        <xdr:to>
          <xdr:col>20</xdr:col>
          <xdr:colOff>0</xdr:colOff>
          <xdr:row>16</xdr:row>
          <xdr:rowOff>108233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BB819E2F-D34B-190C-112F-ECCBB837C3B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1!$B$20:$F$32" spid="_x0000_s4890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235065" y="689258"/>
              <a:ext cx="7661910" cy="2362200"/>
            </a:xfrm>
            <a:prstGeom prst="rect">
              <a:avLst/>
            </a:prstGeom>
            <a:ln>
              <a:noFill/>
            </a:ln>
            <a:effectLst>
              <a:outerShdw blurRad="190500" algn="tl" rotWithShape="0">
                <a:srgbClr val="000000">
                  <a:alpha val="70000"/>
                </a:srgbClr>
              </a:outerShd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4</xdr:row>
          <xdr:rowOff>83820</xdr:rowOff>
        </xdr:from>
        <xdr:to>
          <xdr:col>9</xdr:col>
          <xdr:colOff>670560</xdr:colOff>
          <xdr:row>8</xdr:row>
          <xdr:rowOff>30480</xdr:rowOff>
        </xdr:to>
        <xdr:pic>
          <xdr:nvPicPr>
            <xdr:cNvPr id="48893" name="Picture 18">
              <a:extLst>
                <a:ext uri="{FF2B5EF4-FFF2-40B4-BE49-F238E27FC236}">
                  <a16:creationId xmlns:a16="http://schemas.microsoft.com/office/drawing/2014/main" id="{8B94DF72-4B73-6A60-8528-92314756412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vot_Master!$T$11:$T$14" spid="_x0000_s4890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4640580" y="967740"/>
              <a:ext cx="2148840" cy="6477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4</xdr:row>
          <xdr:rowOff>76200</xdr:rowOff>
        </xdr:from>
        <xdr:to>
          <xdr:col>7</xdr:col>
          <xdr:colOff>0</xdr:colOff>
          <xdr:row>7</xdr:row>
          <xdr:rowOff>114300</xdr:rowOff>
        </xdr:to>
        <xdr:pic>
          <xdr:nvPicPr>
            <xdr:cNvPr id="48894" name="Picture 1">
              <a:extLst>
                <a:ext uri="{FF2B5EF4-FFF2-40B4-BE49-F238E27FC236}">
                  <a16:creationId xmlns:a16="http://schemas.microsoft.com/office/drawing/2014/main" id="{A7FCD874-07D5-02D2-B69F-10E61DEFD7F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vot_Master!$Q$11:$R$13" spid="_x0000_s4890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2491740" y="960120"/>
              <a:ext cx="2103120" cy="5638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6</xdr:row>
      <xdr:rowOff>9244</xdr:rowOff>
    </xdr:from>
    <xdr:to>
      <xdr:col>23</xdr:col>
      <xdr:colOff>249080</xdr:colOff>
      <xdr:row>19</xdr:row>
      <xdr:rowOff>18478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5F7EA6-6756-4A58-BC11-2457C7AE9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342300</xdr:colOff>
      <xdr:row>6</xdr:row>
      <xdr:rowOff>0</xdr:rowOff>
    </xdr:from>
    <xdr:to>
      <xdr:col>25</xdr:col>
      <xdr:colOff>249080</xdr:colOff>
      <xdr:row>19</xdr:row>
      <xdr:rowOff>18478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16B779-C22C-44B2-9764-34C073397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0.89475</cdr:y>
    </cdr:from>
    <cdr:to>
      <cdr:x>0.55421</cdr:x>
      <cdr:y>0.97148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311E68F-27B4-28E0-6BA1-C2F26EC33C86}"/>
            </a:ext>
          </a:extLst>
        </cdr:cNvPr>
        <cdr:cNvSpPr/>
      </cdr:nvSpPr>
      <cdr:spPr>
        <a:xfrm xmlns:a="http://schemas.openxmlformats.org/drawingml/2006/main">
          <a:off x="0" y="1808125"/>
          <a:ext cx="900812" cy="15505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 kern="1200">
              <a:solidFill>
                <a:sysClr val="windowText" lastClr="000000"/>
              </a:solidFill>
            </a:rPr>
            <a:t>Eligibility</a:t>
          </a:r>
          <a:r>
            <a:rPr lang="en-US" sz="700" kern="1200" baseline="0">
              <a:solidFill>
                <a:sysClr val="windowText" lastClr="000000"/>
              </a:solidFill>
            </a:rPr>
            <a:t> Criteria</a:t>
          </a:r>
          <a:endParaRPr lang="en-US" sz="700" kern="1200">
            <a:solidFill>
              <a:sysClr val="windowText" lastClr="000000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0.90558</cdr:y>
    </cdr:from>
    <cdr:to>
      <cdr:x>0.55668</cdr:x>
      <cdr:y>0.98231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F1C040F-B020-8657-E429-A96A95388F2A}"/>
            </a:ext>
          </a:extLst>
        </cdr:cNvPr>
        <cdr:cNvSpPr/>
      </cdr:nvSpPr>
      <cdr:spPr>
        <a:xfrm xmlns:a="http://schemas.openxmlformats.org/drawingml/2006/main">
          <a:off x="0" y="1830014"/>
          <a:ext cx="900812" cy="15505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700" kern="1200">
              <a:solidFill>
                <a:sysClr val="windowText" lastClr="000000"/>
              </a:solidFill>
            </a:rPr>
            <a:t>Eligibility</a:t>
          </a:r>
          <a:r>
            <a:rPr lang="en-US" sz="700" kern="1200" baseline="0">
              <a:solidFill>
                <a:sysClr val="windowText" lastClr="000000"/>
              </a:solidFill>
            </a:rPr>
            <a:t> Criteria</a:t>
          </a:r>
          <a:endParaRPr lang="en-US" sz="700" kern="1200">
            <a:solidFill>
              <a:sysClr val="windowText" lastClr="000000"/>
            </a:solidFill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gudihindi001\Downloads\BDIT_Master\BDIT%202026%20Master%20Folder\1.BDIT%20Q2%202026\1.BDIT_Q2'26_Result\BDIT_Apr'26_v1_DC.xlsx" TargetMode="External"/><Relationship Id="rId1" Type="http://schemas.openxmlformats.org/officeDocument/2006/relationships/externalLinkPath" Target="file:///C:\Users\pgudihindi001\Downloads\BDIT_Master\BDIT%202026%20Master%20Folder\1.BDIT%20Q2%202026\1.BDIT_Q2'26_Result\BDIT_Apr'26_v1_DC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pgudihindi001\Downloads\BDIT-Final_Q3_v3_New_Version_WS_Eligibility_75%25_Pravin.xlsx" TargetMode="External"/><Relationship Id="rId2" Type="http://schemas.microsoft.com/office/2019/04/relationships/externalLinkLongPath" Target="https://pwcindia-my.sharepoint.com/personal/pravin_gudihindin_pwc_com/Documents/A_Official_Project_Files_Pravin/Skoda_HO_Work_PMO_Files/A_BDIT_Final_Working/BDIT_Q3-Q4'2025_Data_Record/BDIT_Q3'2025_Files/BDIT_Q3'2025_Dashboard/BDIT-Final_Q3_v3_New_Version_WS_Eligibility_75%25_Pravin.xlsx?A104CBE0" TargetMode="External"/><Relationship Id="rId1" Type="http://schemas.openxmlformats.org/officeDocument/2006/relationships/externalLinkPath" Target="file:///\\A104CBE0\BDIT-Final_Q3_v3_New_Version_WS_Eligibility_75%25_Pravin.xlsx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pgudihindi001\Downloads\Updated%20H2'25%20Quality%20Bonus_Simulation_01072025.xlsx" TargetMode="External"/><Relationship Id="rId2" Type="http://schemas.microsoft.com/office/2019/04/relationships/externalLinkLongPath" Target="https://pwcindia-my.sharepoint.com/personal/pravin_gudihindin_pwc_com/Documents/A_Official_Project_Files_Pravin/Skoda_HO_Work_PMO_Files/A_BDIT_Final_Working/BDIT_Q3-Q4'2025_Data_Record/BDIT_Q3'2025_Files/BDIT_Q3'2025_Dashboard/Updated%20H2'25%20Quality%20Bonus_Simulation_01072025.xlsx?A104CBE0" TargetMode="External"/><Relationship Id="rId1" Type="http://schemas.openxmlformats.org/officeDocument/2006/relationships/externalLinkPath" Target="file:///\\A104CBE0\Updated%20H2'25%20Quality%20Bonus_Simulation_0107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erformance Summary"/>
      <sheetName val="Backend Working"/>
      <sheetName val="Investor Payout"/>
      <sheetName val="Sales Scorecard"/>
      <sheetName val="Service Scorecard"/>
      <sheetName val="Parameters Controller"/>
      <sheetName val="Sheet1"/>
      <sheetName val="BDIT_Apr'26_v1_D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Quality KPIs 2025"/>
      <sheetName val="Quality Bonus Program 2025"/>
      <sheetName val="Investor_Level_Summary"/>
      <sheetName val="Summary"/>
      <sheetName val="Error_Tracker"/>
      <sheetName val="Not Qualified Count KPI wise"/>
      <sheetName val="Payout Calculation"/>
      <sheetName val="Payout logic"/>
      <sheetName val="Sales"/>
      <sheetName val="Sheet3"/>
      <sheetName val="Service"/>
      <sheetName val="New Investor &amp; Outlet Criteria"/>
      <sheetName val="Investor_Qlty_Bonus"/>
      <sheetName val="Sheet2"/>
      <sheetName val="New Inv &amp; Outlet Criteria"/>
      <sheetName val="Input_Value"/>
      <sheetName val="Input_Value_Service"/>
      <sheetName val="KPI Timelines"/>
      <sheetName val="MS Result_Feb_W1_Result"/>
      <sheetName val="CC_Analysis"/>
      <sheetName val="GMB_Data_Verification"/>
      <sheetName val="Missing_DC_MS_ERR"/>
      <sheetName val="Missing_DC_PSI"/>
      <sheetName val="MS_FW1_Data"/>
      <sheetName val="Retail"/>
      <sheetName val="Sheet1"/>
      <sheetName val="Paramater_Data_Details"/>
      <sheetName val="GMB"/>
      <sheetName val="TD Ratio"/>
      <sheetName val="MP certification"/>
      <sheetName val="Manpower Norms 202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4">
          <cell r="B14" t="str">
            <v>KVPS Code</v>
          </cell>
        </row>
        <row r="15">
          <cell r="B15">
            <v>10302</v>
          </cell>
          <cell r="C15" t="str">
            <v>3S</v>
          </cell>
          <cell r="D15" t="str">
            <v>FFD 3S</v>
          </cell>
          <cell r="E15" t="str">
            <v>Akoya Motors Pvt. Ltd.</v>
          </cell>
          <cell r="F15" t="str">
            <v>Baner</v>
          </cell>
          <cell r="G15" t="str">
            <v>Pune</v>
          </cell>
          <cell r="H15" t="str">
            <v>AKOYA</v>
          </cell>
        </row>
        <row r="16">
          <cell r="B16">
            <v>20379</v>
          </cell>
          <cell r="C16" t="str">
            <v>Workshop</v>
          </cell>
          <cell r="D16" t="str">
            <v>FFD 3S Split</v>
          </cell>
          <cell r="E16" t="str">
            <v>(ASM) Ananya Sales Pvt. Ltd.</v>
          </cell>
          <cell r="F16" t="str">
            <v>Birla Nagar</v>
          </cell>
          <cell r="G16" t="str">
            <v>Gwalior</v>
          </cell>
          <cell r="H16" t="str">
            <v>Ananya</v>
          </cell>
        </row>
        <row r="17">
          <cell r="B17">
            <v>10211</v>
          </cell>
          <cell r="C17" t="str">
            <v>3S</v>
          </cell>
          <cell r="D17" t="str">
            <v>FFD 3S</v>
          </cell>
          <cell r="E17" t="str">
            <v>Aura Motors</v>
          </cell>
          <cell r="F17" t="str">
            <v>Tirunelveli</v>
          </cell>
          <cell r="G17" t="str">
            <v>Tirunelveli</v>
          </cell>
          <cell r="H17" t="str">
            <v>AURA + MAVERICK</v>
          </cell>
        </row>
        <row r="18">
          <cell r="B18">
            <v>20401</v>
          </cell>
          <cell r="C18" t="str">
            <v>Workshop</v>
          </cell>
          <cell r="D18" t="str">
            <v>FFD 3S Split</v>
          </cell>
          <cell r="E18" t="str">
            <v>Automovers Auto Industries Pvt Ltd</v>
          </cell>
          <cell r="F18" t="str">
            <v>Faizabad Road</v>
          </cell>
          <cell r="G18" t="str">
            <v>Lucknow</v>
          </cell>
          <cell r="H18" t="str">
            <v>Automovers</v>
          </cell>
        </row>
        <row r="19">
          <cell r="B19">
            <v>20365</v>
          </cell>
          <cell r="C19" t="str">
            <v>Workshop</v>
          </cell>
          <cell r="D19" t="str">
            <v>FFD 3S Split</v>
          </cell>
          <cell r="E19" t="str">
            <v>Avya Automotives</v>
          </cell>
          <cell r="F19" t="str">
            <v>Begum Bazar</v>
          </cell>
          <cell r="G19" t="str">
            <v>Prayagraj</v>
          </cell>
          <cell r="H19" t="str">
            <v>AVYA</v>
          </cell>
        </row>
        <row r="20">
          <cell r="B20">
            <v>10358</v>
          </cell>
          <cell r="C20" t="str">
            <v>3S</v>
          </cell>
          <cell r="D20" t="str">
            <v>FFD 3S</v>
          </cell>
          <cell r="E20" t="str">
            <v>Berk Autozone LLP</v>
          </cell>
          <cell r="F20" t="str">
            <v>Industrial Area, Phase 1</v>
          </cell>
          <cell r="G20" t="str">
            <v>Panchkula</v>
          </cell>
          <cell r="H20" t="str">
            <v>BERK</v>
          </cell>
        </row>
        <row r="21">
          <cell r="B21">
            <v>20330</v>
          </cell>
          <cell r="C21" t="str">
            <v>Workshop</v>
          </cell>
          <cell r="D21" t="str">
            <v>FFD 3S Split</v>
          </cell>
          <cell r="E21" t="str">
            <v>Brite AutoWheels Pvt. Ltd.</v>
          </cell>
          <cell r="F21" t="str">
            <v>Sector 6</v>
          </cell>
          <cell r="G21" t="str">
            <v>Noida</v>
          </cell>
          <cell r="H21" t="str">
            <v>BRITE</v>
          </cell>
        </row>
        <row r="22">
          <cell r="B22">
            <v>20409</v>
          </cell>
          <cell r="C22" t="str">
            <v>Workshop</v>
          </cell>
          <cell r="D22" t="str">
            <v>FFD 3S Split</v>
          </cell>
          <cell r="E22" t="str">
            <v>Aryaveer Motors Pvt. Ltd.</v>
          </cell>
          <cell r="F22" t="str">
            <v>Moti Nagar</v>
          </cell>
          <cell r="G22" t="str">
            <v>New Delhi</v>
          </cell>
          <cell r="H22" t="str">
            <v>ARYAVEER / Buglee</v>
          </cell>
        </row>
        <row r="23">
          <cell r="B23">
            <v>10367</v>
          </cell>
          <cell r="C23" t="str">
            <v>3S</v>
          </cell>
          <cell r="D23" t="str">
            <v>FFD 3S</v>
          </cell>
          <cell r="E23" t="str">
            <v>Commercial Automotives Pvt. Ltd.</v>
          </cell>
          <cell r="F23" t="str">
            <v>Rampur Road</v>
          </cell>
          <cell r="G23" t="str">
            <v>Bareilly</v>
          </cell>
          <cell r="H23" t="str">
            <v>Commercial</v>
          </cell>
        </row>
        <row r="24">
          <cell r="B24">
            <v>20364</v>
          </cell>
          <cell r="C24" t="str">
            <v>Workshop</v>
          </cell>
          <cell r="D24" t="str">
            <v>FFD 3S Split</v>
          </cell>
          <cell r="E24" t="str">
            <v>DDPM Automobiles LLP</v>
          </cell>
          <cell r="F24" t="str">
            <v>Dudhli Road</v>
          </cell>
          <cell r="G24" t="str">
            <v>Dehradun</v>
          </cell>
          <cell r="H24" t="str">
            <v>DDPM</v>
          </cell>
        </row>
        <row r="25">
          <cell r="B25">
            <v>10202</v>
          </cell>
          <cell r="C25" t="str">
            <v>3S</v>
          </cell>
          <cell r="D25" t="str">
            <v>FFD 3S</v>
          </cell>
          <cell r="E25" t="str">
            <v>Dev Bhoomi Motors Pvt. Ltd.</v>
          </cell>
          <cell r="F25" t="str">
            <v>Guttkar</v>
          </cell>
          <cell r="G25" t="str">
            <v>Mandi</v>
          </cell>
          <cell r="H25" t="str">
            <v>DEV</v>
          </cell>
        </row>
        <row r="26">
          <cell r="B26">
            <v>20406</v>
          </cell>
          <cell r="C26" t="str">
            <v>Workshop</v>
          </cell>
          <cell r="D26" t="str">
            <v>FFD 3S Split</v>
          </cell>
          <cell r="E26" t="str">
            <v>Dhone Mobility Pvt. Ltd</v>
          </cell>
          <cell r="F26" t="str">
            <v>Wagholi</v>
          </cell>
          <cell r="G26" t="str">
            <v>Pune</v>
          </cell>
          <cell r="H26" t="str">
            <v>Dhone</v>
          </cell>
        </row>
        <row r="27">
          <cell r="B27">
            <v>10296</v>
          </cell>
          <cell r="C27" t="str">
            <v>3S</v>
          </cell>
          <cell r="D27" t="str">
            <v>FFD 3S</v>
          </cell>
          <cell r="E27" t="str">
            <v xml:space="preserve">(Trinity) Durgesh Motors Pvt. Ltd. </v>
          </cell>
          <cell r="F27" t="str">
            <v>Bhubaneshwar</v>
          </cell>
          <cell r="G27" t="str">
            <v>Cuttack</v>
          </cell>
          <cell r="H27" t="str">
            <v>DMPL</v>
          </cell>
        </row>
        <row r="28">
          <cell r="B28">
            <v>10374</v>
          </cell>
          <cell r="C28" t="str">
            <v>3S</v>
          </cell>
          <cell r="D28" t="str">
            <v>FFD 3S</v>
          </cell>
          <cell r="E28" t="str">
            <v>Eminent Motocorp Pvt. Ltd.</v>
          </cell>
          <cell r="F28" t="str">
            <v xml:space="preserve">Vastral </v>
          </cell>
          <cell r="G28" t="str">
            <v>Ahmedabad</v>
          </cell>
          <cell r="H28" t="str">
            <v>Eminent</v>
          </cell>
        </row>
        <row r="29">
          <cell r="B29">
            <v>10161</v>
          </cell>
          <cell r="C29" t="str">
            <v>Workshop</v>
          </cell>
          <cell r="D29" t="str">
            <v>FFD 3S Split</v>
          </cell>
          <cell r="E29" t="str">
            <v>Emporium Automobile Pvt. Ltd.</v>
          </cell>
          <cell r="F29" t="str">
            <v>Verna</v>
          </cell>
          <cell r="G29" t="str">
            <v>Goa</v>
          </cell>
          <cell r="H29" t="str">
            <v>Emporium</v>
          </cell>
        </row>
        <row r="30">
          <cell r="B30">
            <v>20400</v>
          </cell>
          <cell r="C30" t="str">
            <v>Workshop</v>
          </cell>
          <cell r="D30" t="str">
            <v>FFD 3S Split</v>
          </cell>
          <cell r="E30" t="str">
            <v>Empreo Allied Pvt. Ltd.</v>
          </cell>
          <cell r="F30" t="str">
            <v>Patia</v>
          </cell>
          <cell r="G30" t="str">
            <v>Bhubaneswar</v>
          </cell>
          <cell r="H30" t="str">
            <v>Empreo</v>
          </cell>
        </row>
        <row r="31">
          <cell r="B31">
            <v>20328</v>
          </cell>
          <cell r="C31" t="str">
            <v>Workshop</v>
          </cell>
          <cell r="D31" t="str">
            <v>FFD 3S Split</v>
          </cell>
          <cell r="E31" t="str">
            <v>EVM Motors &amp; Vehicles India Pvt. Ltd.</v>
          </cell>
          <cell r="F31" t="str">
            <v>Ernakulam</v>
          </cell>
          <cell r="G31" t="str">
            <v>Kochi</v>
          </cell>
          <cell r="H31" t="str">
            <v>EVM</v>
          </cell>
        </row>
        <row r="32">
          <cell r="B32">
            <v>20340</v>
          </cell>
          <cell r="C32" t="str">
            <v>Workshop</v>
          </cell>
          <cell r="D32" t="str">
            <v>FFD 3S Split</v>
          </cell>
          <cell r="E32" t="str">
            <v>EVM Motors &amp; Vehicles India Pvt. Ltd.</v>
          </cell>
          <cell r="F32" t="str">
            <v>Meenchantha</v>
          </cell>
          <cell r="G32" t="str">
            <v>Calicut</v>
          </cell>
          <cell r="H32" t="str">
            <v>EVM</v>
          </cell>
        </row>
        <row r="33">
          <cell r="B33">
            <v>20376</v>
          </cell>
          <cell r="C33" t="str">
            <v>Workshop</v>
          </cell>
          <cell r="D33" t="str">
            <v>FFD 3S Split</v>
          </cell>
          <cell r="E33" t="str">
            <v>EVM Motors &amp; Vehicles India Pvt. Ltd.</v>
          </cell>
          <cell r="F33" t="str">
            <v>Ettumanoor</v>
          </cell>
          <cell r="G33" t="str">
            <v>Kottayam</v>
          </cell>
          <cell r="H33" t="str">
            <v>EVM</v>
          </cell>
        </row>
        <row r="34">
          <cell r="B34">
            <v>10361</v>
          </cell>
          <cell r="C34" t="str">
            <v>3S</v>
          </cell>
          <cell r="D34" t="str">
            <v>FFD 3S</v>
          </cell>
          <cell r="E34" t="str">
            <v>Excel Cars Pvt. Ltd.</v>
          </cell>
          <cell r="F34" t="str">
            <v>Industrial Area, Phase 1</v>
          </cell>
          <cell r="G34" t="str">
            <v>Faridabad</v>
          </cell>
          <cell r="H34" t="str">
            <v>EXCEL</v>
          </cell>
        </row>
        <row r="35">
          <cell r="B35">
            <v>10356</v>
          </cell>
          <cell r="C35" t="str">
            <v>3S</v>
          </cell>
          <cell r="D35" t="str">
            <v>FFD 3S</v>
          </cell>
          <cell r="E35" t="str">
            <v xml:space="preserve">Fatehpuria Motocorp Pvt. Ltd. </v>
          </cell>
          <cell r="F35" t="str">
            <v>IPIA</v>
          </cell>
          <cell r="G35" t="str">
            <v>Kota</v>
          </cell>
          <cell r="H35" t="str">
            <v>FATEHPURIA</v>
          </cell>
        </row>
        <row r="36">
          <cell r="B36">
            <v>20341</v>
          </cell>
          <cell r="C36" t="str">
            <v>Workshop</v>
          </cell>
          <cell r="D36" t="str">
            <v>FFD 3S Split</v>
          </cell>
          <cell r="E36" t="str">
            <v>Frontier Cars India Pvt. Ltd.</v>
          </cell>
          <cell r="F36" t="str">
            <v>Jabalpur</v>
          </cell>
          <cell r="G36" t="str">
            <v>Jabalpur</v>
          </cell>
          <cell r="H36" t="str">
            <v>FRONTIER</v>
          </cell>
        </row>
        <row r="37">
          <cell r="B37">
            <v>20399</v>
          </cell>
          <cell r="C37" t="str">
            <v>Workshop</v>
          </cell>
          <cell r="D37" t="str">
            <v>FFD 3S Split</v>
          </cell>
          <cell r="E37" t="str">
            <v>Garnet Motors (D) Pvt. Ltd.</v>
          </cell>
          <cell r="F37" t="str">
            <v>Pawne</v>
          </cell>
          <cell r="G37" t="str">
            <v>Mumbai</v>
          </cell>
          <cell r="H37" t="str">
            <v>Garnet</v>
          </cell>
        </row>
        <row r="38">
          <cell r="B38">
            <v>20322</v>
          </cell>
          <cell r="C38" t="str">
            <v>Workshop</v>
          </cell>
          <cell r="D38" t="str">
            <v>FFD 3S Split</v>
          </cell>
          <cell r="E38" t="str">
            <v>Garve Car Mania Pvt. Ltd.</v>
          </cell>
          <cell r="F38" t="str">
            <v>MIDC Bhosari</v>
          </cell>
          <cell r="G38" t="str">
            <v>Pune</v>
          </cell>
          <cell r="H38" t="str">
            <v>GARVE</v>
          </cell>
        </row>
        <row r="39">
          <cell r="B39">
            <v>20366</v>
          </cell>
          <cell r="C39" t="str">
            <v>Workshop</v>
          </cell>
          <cell r="D39" t="str">
            <v>FFD 3S Split</v>
          </cell>
          <cell r="E39" t="str">
            <v>Gem Phoenix Auto Pvt. Ltd.</v>
          </cell>
          <cell r="F39" t="str">
            <v>Nadathara</v>
          </cell>
          <cell r="G39" t="str">
            <v>Thrissur</v>
          </cell>
          <cell r="H39" t="str">
            <v>Gem</v>
          </cell>
        </row>
        <row r="40">
          <cell r="B40">
            <v>20294</v>
          </cell>
          <cell r="C40" t="str">
            <v>Workshop</v>
          </cell>
          <cell r="D40" t="str">
            <v>FFD 3S Split</v>
          </cell>
          <cell r="E40" t="str">
            <v>Global Motocorp LLP</v>
          </cell>
          <cell r="F40" t="str">
            <v>Anandapur</v>
          </cell>
          <cell r="G40" t="str">
            <v>Kolkata</v>
          </cell>
          <cell r="H40" t="str">
            <v>GMCL</v>
          </cell>
        </row>
        <row r="41">
          <cell r="B41">
            <v>10039</v>
          </cell>
          <cell r="C41" t="str">
            <v>Workshop</v>
          </cell>
          <cell r="D41" t="str">
            <v>FFD 3S Split</v>
          </cell>
          <cell r="E41" t="str">
            <v>Gurudev Motors Pvt. Ltd.</v>
          </cell>
          <cell r="F41" t="str">
            <v>Guindy</v>
          </cell>
          <cell r="G41" t="str">
            <v>Chennai</v>
          </cell>
          <cell r="H41" t="str">
            <v>GURUDEV</v>
          </cell>
        </row>
        <row r="42">
          <cell r="B42">
            <v>20061</v>
          </cell>
          <cell r="C42" t="str">
            <v>3S</v>
          </cell>
          <cell r="D42" t="str">
            <v>FFD 3S</v>
          </cell>
          <cell r="E42" t="str">
            <v>Gurudev Motors Pvt. Ltd.</v>
          </cell>
          <cell r="F42" t="str">
            <v>Perumugai</v>
          </cell>
          <cell r="G42" t="str">
            <v>Vellore</v>
          </cell>
          <cell r="H42" t="str">
            <v>GURUDEV</v>
          </cell>
        </row>
        <row r="43">
          <cell r="B43">
            <v>23039</v>
          </cell>
          <cell r="C43" t="str">
            <v>3S</v>
          </cell>
          <cell r="D43" t="str">
            <v>FFD 3S</v>
          </cell>
          <cell r="E43" t="str">
            <v>Gurudev Motors Pvt. Ltd.</v>
          </cell>
          <cell r="F43" t="str">
            <v>Ambattur</v>
          </cell>
          <cell r="G43" t="str">
            <v>Chennai</v>
          </cell>
          <cell r="H43" t="str">
            <v>GURUDEV</v>
          </cell>
        </row>
        <row r="44">
          <cell r="B44">
            <v>10118</v>
          </cell>
          <cell r="C44" t="str">
            <v>3S</v>
          </cell>
          <cell r="D44" t="str">
            <v>FFD 3S</v>
          </cell>
          <cell r="E44" t="str">
            <v>Gurudev Motors Pvt. Ltd.</v>
          </cell>
          <cell r="F44" t="str">
            <v>Ganapathy Nagar</v>
          </cell>
          <cell r="G44" t="str">
            <v>Trichy</v>
          </cell>
          <cell r="H44" t="str">
            <v>GURUDEV</v>
          </cell>
        </row>
        <row r="45">
          <cell r="B45">
            <v>10405</v>
          </cell>
          <cell r="C45" t="str">
            <v>3S</v>
          </cell>
          <cell r="D45" t="str">
            <v>FFD 3S</v>
          </cell>
          <cell r="E45" t="str">
            <v>Gurukrupa Cars Pvt. Ltd.</v>
          </cell>
          <cell r="F45" t="str">
            <v>Shivaji Nagar</v>
          </cell>
          <cell r="G45" t="str">
            <v>Solapur</v>
          </cell>
          <cell r="H45" t="str">
            <v>Gurukrupa</v>
          </cell>
        </row>
        <row r="46">
          <cell r="B46">
            <v>20377</v>
          </cell>
          <cell r="C46" t="str">
            <v>Workshop</v>
          </cell>
          <cell r="D46" t="str">
            <v>FFD 3S Split</v>
          </cell>
          <cell r="E46" t="str">
            <v>HD Autowheels Pvt. Ltd.</v>
          </cell>
          <cell r="F46" t="str">
            <v>Rakshikagarh</v>
          </cell>
          <cell r="G46" t="str">
            <v>Amritsar</v>
          </cell>
          <cell r="H46" t="str">
            <v>HDAPL</v>
          </cell>
        </row>
        <row r="47">
          <cell r="B47">
            <v>10082</v>
          </cell>
          <cell r="C47" t="str">
            <v>3S</v>
          </cell>
          <cell r="D47" t="str">
            <v>FFD 3S</v>
          </cell>
          <cell r="E47" t="str">
            <v>Imperial Vehicles Pvt. Ltd.</v>
          </cell>
          <cell r="F47" t="str">
            <v>Adityapur</v>
          </cell>
          <cell r="G47" t="str">
            <v>Jamshedpur</v>
          </cell>
          <cell r="H47" t="str">
            <v>IMPERIAL</v>
          </cell>
        </row>
        <row r="48">
          <cell r="B48">
            <v>10355</v>
          </cell>
          <cell r="C48" t="str">
            <v>3S</v>
          </cell>
          <cell r="D48" t="str">
            <v>FFD 3S</v>
          </cell>
          <cell r="E48" t="str">
            <v>Jagdish Motocorp Pvt. Ltd.</v>
          </cell>
          <cell r="F48" t="str">
            <v>Hoshangabad Road</v>
          </cell>
          <cell r="G48" t="str">
            <v>Bhopal</v>
          </cell>
          <cell r="H48" t="str">
            <v>JAGDISH</v>
          </cell>
        </row>
        <row r="49">
          <cell r="B49">
            <v>20281</v>
          </cell>
          <cell r="C49" t="str">
            <v>Workshop</v>
          </cell>
          <cell r="D49" t="str">
            <v>FFD 3S Split</v>
          </cell>
          <cell r="E49" t="str">
            <v>Jai Auto Vehicles Pvt. Ltd.</v>
          </cell>
          <cell r="F49" t="str">
            <v>Mathura Road</v>
          </cell>
          <cell r="G49" t="str">
            <v>New Delhi</v>
          </cell>
          <cell r="H49" t="str">
            <v>JSB</v>
          </cell>
        </row>
        <row r="50">
          <cell r="B50">
            <v>20277</v>
          </cell>
          <cell r="C50" t="str">
            <v>3S</v>
          </cell>
          <cell r="D50" t="str">
            <v>FFD 3S</v>
          </cell>
          <cell r="E50" t="str">
            <v>Jai Auto Vehicles Pvt. Ltd.</v>
          </cell>
          <cell r="F50" t="str">
            <v>Sector 15</v>
          </cell>
          <cell r="G50" t="str">
            <v>Gurugram</v>
          </cell>
          <cell r="H50" t="str">
            <v>JSB</v>
          </cell>
        </row>
        <row r="51">
          <cell r="B51">
            <v>10397</v>
          </cell>
          <cell r="C51" t="str">
            <v>3S</v>
          </cell>
          <cell r="D51" t="str">
            <v>FFD 3S</v>
          </cell>
          <cell r="E51" t="str">
            <v>K Cube Motors LLP</v>
          </cell>
          <cell r="F51" t="str">
            <v>Naharlagun</v>
          </cell>
          <cell r="G51" t="str">
            <v>Itanagar</v>
          </cell>
          <cell r="H51" t="str">
            <v>K cube</v>
          </cell>
        </row>
        <row r="52">
          <cell r="B52">
            <v>10403</v>
          </cell>
          <cell r="C52" t="str">
            <v>3S</v>
          </cell>
          <cell r="D52" t="str">
            <v>FFD 3S</v>
          </cell>
          <cell r="E52" t="str">
            <v>Kanal Vehicles LLP</v>
          </cell>
          <cell r="F52" t="str">
            <v>Civil Lines</v>
          </cell>
          <cell r="G52" t="str">
            <v>Jhansi</v>
          </cell>
          <cell r="H52" t="str">
            <v>Kanal</v>
          </cell>
        </row>
        <row r="53">
          <cell r="B53">
            <v>10016</v>
          </cell>
          <cell r="C53" t="str">
            <v>3S</v>
          </cell>
          <cell r="D53" t="str">
            <v>FFD 3S</v>
          </cell>
          <cell r="E53" t="str">
            <v xml:space="preserve">Krishna Auto Sales </v>
          </cell>
          <cell r="F53" t="str">
            <v>Industrial Area, Phase 1</v>
          </cell>
          <cell r="G53" t="str">
            <v>Chandigarh</v>
          </cell>
          <cell r="H53" t="str">
            <v>KAS</v>
          </cell>
        </row>
        <row r="54">
          <cell r="B54">
            <v>10018</v>
          </cell>
          <cell r="C54" t="str">
            <v>3S</v>
          </cell>
          <cell r="D54" t="str">
            <v>FFD 3S</v>
          </cell>
          <cell r="E54" t="str">
            <v xml:space="preserve">Krishna Auto Sales </v>
          </cell>
          <cell r="F54" t="str">
            <v>Kapurthala</v>
          </cell>
          <cell r="G54" t="str">
            <v>Jalandhar</v>
          </cell>
          <cell r="H54" t="str">
            <v>KAS</v>
          </cell>
        </row>
        <row r="55">
          <cell r="B55">
            <v>10017</v>
          </cell>
          <cell r="C55" t="str">
            <v>3S</v>
          </cell>
          <cell r="D55" t="str">
            <v>FFD 3S</v>
          </cell>
          <cell r="E55" t="str">
            <v xml:space="preserve">Krishna Auto Sales </v>
          </cell>
          <cell r="F55" t="str">
            <v>Dhandari Kalan</v>
          </cell>
          <cell r="G55" t="str">
            <v>Ludhiana</v>
          </cell>
          <cell r="H55" t="str">
            <v>KAS</v>
          </cell>
        </row>
        <row r="56">
          <cell r="B56">
            <v>20348</v>
          </cell>
          <cell r="C56" t="str">
            <v>Workshop</v>
          </cell>
          <cell r="D56" t="str">
            <v>FFD 3S Split</v>
          </cell>
          <cell r="E56" t="str">
            <v>Kun Motor Enterprises Pvt. Ltd.</v>
          </cell>
          <cell r="F56" t="str">
            <v>Lawspet</v>
          </cell>
          <cell r="G56" t="str">
            <v>Pondicherry</v>
          </cell>
          <cell r="H56" t="str">
            <v>KUN CHEN + KUN POND</v>
          </cell>
        </row>
        <row r="57">
          <cell r="B57">
            <v>20354</v>
          </cell>
          <cell r="C57" t="str">
            <v>Workshop</v>
          </cell>
          <cell r="D57" t="str">
            <v>FFD 3S Split</v>
          </cell>
          <cell r="E57" t="str">
            <v>Kun Motor Enterprises Pvt. Ltd.</v>
          </cell>
          <cell r="F57" t="str">
            <v>OMR</v>
          </cell>
          <cell r="G57" t="str">
            <v>Chennai</v>
          </cell>
          <cell r="H57" t="str">
            <v>KUN CHEN + KUN POND</v>
          </cell>
        </row>
        <row r="58">
          <cell r="B58">
            <v>26012</v>
          </cell>
          <cell r="C58" t="str">
            <v>3S</v>
          </cell>
          <cell r="D58" t="str">
            <v>FFD 3S</v>
          </cell>
          <cell r="E58" t="str">
            <v>Mahavir Auto  Diagnostics Pvt. Ltd.</v>
          </cell>
          <cell r="F58" t="str">
            <v>Vijayawada</v>
          </cell>
          <cell r="G58" t="str">
            <v>Vijayawada</v>
          </cell>
          <cell r="H58" t="str">
            <v>MAHAVIR_AP</v>
          </cell>
        </row>
        <row r="59">
          <cell r="B59">
            <v>22012</v>
          </cell>
          <cell r="C59" t="str">
            <v>3S</v>
          </cell>
          <cell r="D59" t="str">
            <v>FFD 3S</v>
          </cell>
          <cell r="E59" t="str">
            <v>Mahavir Auto  Diagnostics Pvt. Ltd.</v>
          </cell>
          <cell r="F59" t="str">
            <v>Vishakhapatnam</v>
          </cell>
          <cell r="G59" t="str">
            <v>Vishakhapatnam</v>
          </cell>
          <cell r="H59" t="str">
            <v>MAHAVIR_AP</v>
          </cell>
        </row>
        <row r="60">
          <cell r="B60">
            <v>23012</v>
          </cell>
          <cell r="C60" t="str">
            <v>Workshop</v>
          </cell>
          <cell r="D60" t="str">
            <v>FFD 3S Split</v>
          </cell>
          <cell r="E60" t="str">
            <v>Mahavir Auto  Diagnostics Pvt. Ltd.</v>
          </cell>
          <cell r="F60" t="str">
            <v>Sanath Nagar</v>
          </cell>
          <cell r="G60" t="str">
            <v>Hyderabad</v>
          </cell>
          <cell r="H60" t="str">
            <v>MAHAVIR_TL</v>
          </cell>
        </row>
        <row r="61">
          <cell r="B61">
            <v>24012</v>
          </cell>
          <cell r="C61" t="str">
            <v>Workshop</v>
          </cell>
          <cell r="D61" t="str">
            <v>FFD 3S Split</v>
          </cell>
          <cell r="E61" t="str">
            <v>Mahavir Auto  Diagnostics Pvt. Ltd.</v>
          </cell>
          <cell r="F61" t="str">
            <v>Brigadier Sayeed Road</v>
          </cell>
          <cell r="G61" t="str">
            <v>Secunderabad</v>
          </cell>
          <cell r="H61" t="str">
            <v>MAHAVIR_TL</v>
          </cell>
        </row>
        <row r="62">
          <cell r="B62">
            <v>20363</v>
          </cell>
          <cell r="C62" t="str">
            <v>Workshop</v>
          </cell>
          <cell r="D62" t="str">
            <v>FFD 3S Split</v>
          </cell>
          <cell r="E62" t="str">
            <v>Ring Road Motocorp Pvt. Ltd.</v>
          </cell>
          <cell r="F62" t="str">
            <v>Jahangirpuri</v>
          </cell>
          <cell r="G62" t="str">
            <v>New Delhi</v>
          </cell>
          <cell r="H62" t="str">
            <v>Masyy</v>
          </cell>
        </row>
        <row r="63">
          <cell r="B63">
            <v>20359</v>
          </cell>
          <cell r="C63" t="str">
            <v>Workshop</v>
          </cell>
          <cell r="D63" t="str">
            <v>FFD 3S Split</v>
          </cell>
          <cell r="E63" t="str">
            <v>Ring Road Motocorp Pvt. Ltd.</v>
          </cell>
          <cell r="F63" t="str">
            <v>Sector 18</v>
          </cell>
          <cell r="G63" t="str">
            <v>Gurugram</v>
          </cell>
          <cell r="H63" t="str">
            <v>Masyy</v>
          </cell>
        </row>
        <row r="64">
          <cell r="B64">
            <v>10393</v>
          </cell>
          <cell r="C64" t="str">
            <v>3S</v>
          </cell>
          <cell r="D64" t="str">
            <v>FFD 3S</v>
          </cell>
          <cell r="E64" t="str">
            <v>MM Auto Sales Pvt Ltd.</v>
          </cell>
          <cell r="F64" t="str">
            <v>Haraya</v>
          </cell>
          <cell r="G64" t="str">
            <v>Gorakhpur</v>
          </cell>
          <cell r="H64" t="str">
            <v>MM Auto</v>
          </cell>
        </row>
        <row r="65">
          <cell r="B65">
            <v>20344</v>
          </cell>
          <cell r="C65" t="str">
            <v>Workshop</v>
          </cell>
          <cell r="D65" t="str">
            <v>FFD Workshop only</v>
          </cell>
          <cell r="E65" t="str">
            <v>Mody India Cars Pvt. Ltd.</v>
          </cell>
          <cell r="F65" t="str">
            <v>Mahalaxmi</v>
          </cell>
          <cell r="G65" t="str">
            <v>Mumbai</v>
          </cell>
          <cell r="H65" t="str">
            <v>MODY_MH</v>
          </cell>
        </row>
        <row r="66">
          <cell r="B66">
            <v>20345</v>
          </cell>
          <cell r="C66" t="str">
            <v>Workshop</v>
          </cell>
          <cell r="D66" t="str">
            <v>FFD 3S Split</v>
          </cell>
          <cell r="E66" t="str">
            <v>Mody India Cars Pvt. Ltd.</v>
          </cell>
          <cell r="F66" t="str">
            <v>Kurla (West)</v>
          </cell>
          <cell r="G66" t="str">
            <v>Mumbai</v>
          </cell>
          <cell r="H66" t="str">
            <v>MODY_MH</v>
          </cell>
        </row>
        <row r="67">
          <cell r="B67">
            <v>20357</v>
          </cell>
          <cell r="C67" t="str">
            <v>Workshop</v>
          </cell>
          <cell r="D67" t="str">
            <v>FFD 3S Split</v>
          </cell>
          <cell r="E67" t="str">
            <v>Mody India Cars Pvt. Ltd.</v>
          </cell>
          <cell r="F67" t="str">
            <v>Goregaon (East)</v>
          </cell>
          <cell r="G67" t="str">
            <v>Mumbai</v>
          </cell>
          <cell r="H67" t="str">
            <v>MODY_MH</v>
          </cell>
        </row>
        <row r="68">
          <cell r="B68">
            <v>20368</v>
          </cell>
          <cell r="C68" t="str">
            <v>Workshop</v>
          </cell>
          <cell r="D68" t="str">
            <v>FFD 3S Split</v>
          </cell>
          <cell r="E68" t="str">
            <v>Mody India Cars Pvt. Ltd.</v>
          </cell>
          <cell r="F68" t="str">
            <v>Uppal</v>
          </cell>
          <cell r="G68" t="str">
            <v>Hyderabad</v>
          </cell>
          <cell r="H68" t="str">
            <v>MODY_TL</v>
          </cell>
        </row>
        <row r="69">
          <cell r="B69">
            <v>10370</v>
          </cell>
          <cell r="C69" t="str">
            <v>3S</v>
          </cell>
          <cell r="D69" t="str">
            <v>FFD 3S</v>
          </cell>
          <cell r="E69" t="str">
            <v>Moharir Motors Pvt. Ltd.</v>
          </cell>
          <cell r="F69" t="str">
            <v>Rajendra Nagar</v>
          </cell>
          <cell r="G69" t="str">
            <v>Nasik</v>
          </cell>
          <cell r="H69" t="str">
            <v>MOHARIR</v>
          </cell>
        </row>
        <row r="70">
          <cell r="B70">
            <v>10387</v>
          </cell>
          <cell r="C70" t="str">
            <v>3S</v>
          </cell>
          <cell r="D70" t="str">
            <v>FFD 3S</v>
          </cell>
          <cell r="E70" t="str">
            <v>Pal Prateek Automobile LLP</v>
          </cell>
          <cell r="F70" t="str">
            <v>Dewalchour</v>
          </cell>
          <cell r="G70" t="str">
            <v>Haldwani</v>
          </cell>
          <cell r="H70" t="str">
            <v>Pal Prateek</v>
          </cell>
        </row>
        <row r="71">
          <cell r="B71">
            <v>20378</v>
          </cell>
          <cell r="C71" t="str">
            <v>Workshop</v>
          </cell>
          <cell r="D71" t="str">
            <v>FFD 3S Split</v>
          </cell>
          <cell r="E71" t="str">
            <v>Patni Autoventures LLP</v>
          </cell>
          <cell r="F71" t="str">
            <v>Central MIDC</v>
          </cell>
          <cell r="G71" t="str">
            <v>Nagpur</v>
          </cell>
          <cell r="H71" t="str">
            <v>Patni</v>
          </cell>
        </row>
        <row r="72">
          <cell r="B72">
            <v>20371</v>
          </cell>
          <cell r="C72" t="str">
            <v>Workshop</v>
          </cell>
          <cell r="D72" t="str">
            <v>FFD 3S Split</v>
          </cell>
          <cell r="E72" t="str">
            <v>PPS Motors Pvt. Ltd.</v>
          </cell>
          <cell r="F72" t="str">
            <v>Thookivakam Village</v>
          </cell>
          <cell r="G72" t="str">
            <v>Tirupati</v>
          </cell>
          <cell r="H72" t="str">
            <v>PPS_AP</v>
          </cell>
        </row>
        <row r="73">
          <cell r="B73">
            <v>20339</v>
          </cell>
          <cell r="C73" t="str">
            <v>Workshop</v>
          </cell>
          <cell r="D73" t="str">
            <v>FFD 3S Split</v>
          </cell>
          <cell r="E73" t="str">
            <v>PPS Motors Pvt. Ltd.</v>
          </cell>
          <cell r="F73" t="str">
            <v>Bengaluru</v>
          </cell>
          <cell r="G73" t="str">
            <v>Bengaluru</v>
          </cell>
          <cell r="H73" t="str">
            <v>PPS_KA</v>
          </cell>
        </row>
        <row r="74">
          <cell r="B74">
            <v>20347</v>
          </cell>
          <cell r="C74" t="str">
            <v>Workshop</v>
          </cell>
          <cell r="D74" t="str">
            <v>FFD 3S Split</v>
          </cell>
          <cell r="E74" t="str">
            <v>PPS Motors Pvt. Ltd.</v>
          </cell>
          <cell r="F74" t="str">
            <v>Bengaluru</v>
          </cell>
          <cell r="G74" t="str">
            <v>Bengaluru</v>
          </cell>
          <cell r="H74" t="str">
            <v>PPS_KA</v>
          </cell>
        </row>
        <row r="75">
          <cell r="B75">
            <v>20381</v>
          </cell>
          <cell r="C75" t="str">
            <v>Workshop</v>
          </cell>
          <cell r="D75" t="str">
            <v>FFD 3S Split</v>
          </cell>
          <cell r="E75" t="str">
            <v>PPS Motors Pvt. Ltd.</v>
          </cell>
          <cell r="F75" t="str">
            <v>Chakkai</v>
          </cell>
          <cell r="G75" t="str">
            <v>Thiruvananthapuram</v>
          </cell>
          <cell r="H75" t="str">
            <v>PPS_Kerala</v>
          </cell>
        </row>
        <row r="76">
          <cell r="B76">
            <v>10382</v>
          </cell>
          <cell r="C76" t="str">
            <v>3S</v>
          </cell>
          <cell r="D76" t="str">
            <v>FFD 3S</v>
          </cell>
          <cell r="E76" t="str">
            <v>PPS Motors Pvt. Ltd.</v>
          </cell>
          <cell r="F76" t="str">
            <v>Koickal</v>
          </cell>
          <cell r="G76" t="str">
            <v>Kollam</v>
          </cell>
          <cell r="H76" t="str">
            <v>PPS_Kerala</v>
          </cell>
        </row>
        <row r="77">
          <cell r="B77">
            <v>20413</v>
          </cell>
          <cell r="C77" t="str">
            <v>Workshop</v>
          </cell>
          <cell r="D77" t="str">
            <v>FFD Workshop only</v>
          </cell>
          <cell r="E77" t="str">
            <v>PPS Motors Pvt. Ltd.</v>
          </cell>
          <cell r="F77" t="str">
            <v>Bachupally</v>
          </cell>
          <cell r="G77" t="str">
            <v>Hyderabad</v>
          </cell>
          <cell r="H77" t="str">
            <v>PPS_TL</v>
          </cell>
        </row>
        <row r="78">
          <cell r="B78">
            <v>20350</v>
          </cell>
          <cell r="C78" t="str">
            <v>Workshop</v>
          </cell>
          <cell r="D78" t="str">
            <v>FFD 3S Split</v>
          </cell>
          <cell r="E78" t="str">
            <v>PPS Motors Pvt. Ltd.</v>
          </cell>
          <cell r="F78" t="str">
            <v>Gachibowli</v>
          </cell>
          <cell r="G78" t="str">
            <v>Hyderabad</v>
          </cell>
          <cell r="H78" t="str">
            <v>PPS_TL</v>
          </cell>
        </row>
        <row r="79">
          <cell r="B79">
            <v>10336</v>
          </cell>
          <cell r="C79" t="str">
            <v>3S</v>
          </cell>
          <cell r="D79" t="str">
            <v>FFD 3S</v>
          </cell>
          <cell r="E79" t="str">
            <v>Prem Garages Pvt. Ltd.</v>
          </cell>
          <cell r="F79" t="str">
            <v>Agra</v>
          </cell>
          <cell r="G79" t="str">
            <v>Agra</v>
          </cell>
          <cell r="H79" t="str">
            <v>PREM</v>
          </cell>
        </row>
        <row r="80">
          <cell r="B80">
            <v>10349</v>
          </cell>
          <cell r="C80" t="str">
            <v>3S</v>
          </cell>
          <cell r="D80" t="str">
            <v>FFD 3S</v>
          </cell>
          <cell r="E80" t="str">
            <v>Presidency Cars Pvt. Ltd.</v>
          </cell>
          <cell r="F80" t="str">
            <v>City Light Road</v>
          </cell>
          <cell r="G80" t="str">
            <v>Surat</v>
          </cell>
          <cell r="H80" t="str">
            <v>PRESIDENCY</v>
          </cell>
        </row>
        <row r="81">
          <cell r="B81">
            <v>20351</v>
          </cell>
          <cell r="C81" t="str">
            <v>Workshop</v>
          </cell>
          <cell r="D81" t="str">
            <v>FFD 3S Split</v>
          </cell>
          <cell r="E81" t="str">
            <v>Raja Ganesh Motors</v>
          </cell>
          <cell r="F81" t="str">
            <v>Mahadevpura</v>
          </cell>
          <cell r="G81" t="str">
            <v>Bengaluru</v>
          </cell>
          <cell r="H81" t="str">
            <v>RAJA GANESH</v>
          </cell>
        </row>
        <row r="82">
          <cell r="B82">
            <v>10390</v>
          </cell>
          <cell r="C82" t="str">
            <v>3S</v>
          </cell>
          <cell r="D82" t="str">
            <v>FFD 3S</v>
          </cell>
          <cell r="E82" t="str">
            <v>Raja Motors Corporation</v>
          </cell>
          <cell r="F82" t="str">
            <v>Bairidevarkoppa</v>
          </cell>
          <cell r="G82" t="str">
            <v>Hubballi</v>
          </cell>
          <cell r="H82" t="str">
            <v>RAJA MOTORS</v>
          </cell>
        </row>
        <row r="83">
          <cell r="B83">
            <v>20391</v>
          </cell>
          <cell r="C83" t="str">
            <v>Workshop</v>
          </cell>
          <cell r="D83" t="str">
            <v>FFD 3S Split</v>
          </cell>
          <cell r="E83" t="str">
            <v>(Regent) Tejpal Motors Pvt. Ltd.</v>
          </cell>
          <cell r="F83" t="str">
            <v>Kandivali</v>
          </cell>
          <cell r="G83" t="str">
            <v>Mumbai</v>
          </cell>
          <cell r="H83" t="str">
            <v>Regent</v>
          </cell>
        </row>
        <row r="84">
          <cell r="B84">
            <v>20380</v>
          </cell>
          <cell r="C84" t="str">
            <v>Workshop</v>
          </cell>
          <cell r="D84" t="str">
            <v>FFD 3S Split</v>
          </cell>
          <cell r="E84" t="str">
            <v>(Regent) Tejpal Motors Pvt. Ltd.</v>
          </cell>
          <cell r="F84" t="str">
            <v>Waghle Estate</v>
          </cell>
          <cell r="G84" t="str">
            <v>Thane</v>
          </cell>
          <cell r="H84" t="str">
            <v>Regent</v>
          </cell>
        </row>
        <row r="85">
          <cell r="B85">
            <v>20402</v>
          </cell>
          <cell r="C85" t="str">
            <v>3S</v>
          </cell>
          <cell r="D85" t="str">
            <v>FFD 3S</v>
          </cell>
          <cell r="E85" t="str">
            <v>RN Mobility Pvt. Ltd.</v>
          </cell>
          <cell r="F85" t="str">
            <v>PTC Centre</v>
          </cell>
          <cell r="G85" t="str">
            <v>Saharanpur</v>
          </cell>
          <cell r="H85" t="str">
            <v>RN Mobility</v>
          </cell>
        </row>
        <row r="86">
          <cell r="B86">
            <v>10141</v>
          </cell>
          <cell r="C86" t="str">
            <v>Workshop</v>
          </cell>
          <cell r="D86" t="str">
            <v>FFD 3S Split</v>
          </cell>
          <cell r="E86" t="str">
            <v>S7 Cars India Pvt. Ltd.</v>
          </cell>
          <cell r="F86" t="str">
            <v>Mamangam</v>
          </cell>
          <cell r="G86" t="str">
            <v>Salem</v>
          </cell>
          <cell r="H86" t="str">
            <v>S7</v>
          </cell>
        </row>
        <row r="87">
          <cell r="B87">
            <v>20290</v>
          </cell>
          <cell r="C87" t="str">
            <v>Workshop</v>
          </cell>
          <cell r="D87" t="str">
            <v>FFD 3S Split</v>
          </cell>
          <cell r="E87" t="str">
            <v>Saisha Motors Pvt. Ltd.</v>
          </cell>
          <cell r="F87" t="str">
            <v>Ramchandrapura</v>
          </cell>
          <cell r="G87" t="str">
            <v>Jaipur</v>
          </cell>
          <cell r="H87" t="str">
            <v>SAISHA</v>
          </cell>
        </row>
        <row r="88">
          <cell r="B88">
            <v>10032</v>
          </cell>
          <cell r="C88" t="str">
            <v>3S</v>
          </cell>
          <cell r="D88" t="str">
            <v>FFD 3S</v>
          </cell>
          <cell r="E88" t="str">
            <v>Sarra Motors Pvt. Ltd.</v>
          </cell>
          <cell r="F88" t="str">
            <v>Chhatrapati Sambhajinagar</v>
          </cell>
          <cell r="G88" t="str">
            <v>Chhatrapati Sambhajinagar</v>
          </cell>
          <cell r="H88" t="str">
            <v>SARRA</v>
          </cell>
        </row>
        <row r="89">
          <cell r="B89">
            <v>10025</v>
          </cell>
          <cell r="C89" t="str">
            <v>3S</v>
          </cell>
          <cell r="D89" t="str">
            <v>FFD 3S</v>
          </cell>
          <cell r="E89" t="str">
            <v>Satguru Motors</v>
          </cell>
          <cell r="F89" t="str">
            <v>Dewas Naka</v>
          </cell>
          <cell r="G89" t="str">
            <v>Indore</v>
          </cell>
          <cell r="H89" t="str">
            <v>SATGURU</v>
          </cell>
        </row>
        <row r="90">
          <cell r="B90">
            <v>10343</v>
          </cell>
          <cell r="C90" t="str">
            <v>3S</v>
          </cell>
          <cell r="D90" t="str">
            <v>FFD 3S</v>
          </cell>
          <cell r="E90" t="str">
            <v>ShriBalaji AutoAgency Mysore Pvt. Ltd.</v>
          </cell>
          <cell r="F90" t="str">
            <v>Koorgalli Industrial Estate</v>
          </cell>
          <cell r="G90" t="str">
            <v>Mysore</v>
          </cell>
          <cell r="H90" t="str">
            <v>SBAMPL</v>
          </cell>
        </row>
        <row r="91">
          <cell r="B91">
            <v>10259</v>
          </cell>
          <cell r="C91" t="str">
            <v>Workshop</v>
          </cell>
          <cell r="D91" t="str">
            <v>FFD 3S Split</v>
          </cell>
          <cell r="E91" t="str">
            <v xml:space="preserve">SGA Cars India Pvt. Ltd. </v>
          </cell>
          <cell r="F91" t="str">
            <v>Sowripalayam</v>
          </cell>
          <cell r="G91" t="str">
            <v>Coimbatore</v>
          </cell>
          <cell r="H91" t="str">
            <v>SGA</v>
          </cell>
        </row>
        <row r="92">
          <cell r="B92">
            <v>10392</v>
          </cell>
          <cell r="C92" t="str">
            <v>3S</v>
          </cell>
          <cell r="D92" t="str">
            <v>FFD 3S</v>
          </cell>
          <cell r="E92" t="str">
            <v>Shanta Motors Pvt. Ltd.</v>
          </cell>
          <cell r="F92" t="str">
            <v>Amberi</v>
          </cell>
          <cell r="G92" t="str">
            <v>Udaipur</v>
          </cell>
          <cell r="H92" t="str">
            <v>Shanta</v>
          </cell>
        </row>
        <row r="93">
          <cell r="B93">
            <v>20335</v>
          </cell>
          <cell r="C93" t="str">
            <v>Workshop</v>
          </cell>
          <cell r="D93" t="str">
            <v>FFD 3S Split</v>
          </cell>
          <cell r="E93" t="str">
            <v>Shreenathji Automobiles Pvt. Ltd.</v>
          </cell>
          <cell r="F93" t="str">
            <v>Kangsiyali</v>
          </cell>
          <cell r="G93" t="str">
            <v>Rajkot</v>
          </cell>
          <cell r="H93" t="str">
            <v>SHREENATHJI</v>
          </cell>
        </row>
        <row r="94">
          <cell r="B94">
            <v>10026</v>
          </cell>
          <cell r="C94" t="str">
            <v>Workshop</v>
          </cell>
          <cell r="D94" t="str">
            <v>FFD 3S Split</v>
          </cell>
          <cell r="E94" t="str">
            <v>Shrine Auto Pvt. Ltd.</v>
          </cell>
          <cell r="F94" t="str">
            <v>Kolhapur</v>
          </cell>
          <cell r="G94" t="str">
            <v>Kolhapur</v>
          </cell>
          <cell r="H94" t="str">
            <v>SHRINE</v>
          </cell>
        </row>
        <row r="95">
          <cell r="B95">
            <v>10288</v>
          </cell>
          <cell r="C95" t="str">
            <v>3S</v>
          </cell>
          <cell r="D95" t="str">
            <v>FFD 3S</v>
          </cell>
          <cell r="E95" t="str">
            <v>BLC Autosales Pvt. Ltd.</v>
          </cell>
          <cell r="F95" t="str">
            <v>Hisar</v>
          </cell>
          <cell r="G95" t="str">
            <v>Hissar</v>
          </cell>
          <cell r="H95" t="str">
            <v>SIDAK + BLC</v>
          </cell>
        </row>
        <row r="96">
          <cell r="B96">
            <v>10100</v>
          </cell>
          <cell r="C96" t="str">
            <v>3S</v>
          </cell>
          <cell r="D96" t="str">
            <v>FFD 3S</v>
          </cell>
          <cell r="E96" t="str">
            <v>Sidak Automobiles Pvt. Ltd.</v>
          </cell>
          <cell r="F96" t="str">
            <v>Opposite Nilkanth Dhaba</v>
          </cell>
          <cell r="G96" t="str">
            <v>Karnal</v>
          </cell>
          <cell r="H96" t="str">
            <v>SIDAK + BLC</v>
          </cell>
        </row>
        <row r="97">
          <cell r="B97">
            <v>10373</v>
          </cell>
          <cell r="C97" t="str">
            <v>3S</v>
          </cell>
          <cell r="D97" t="str">
            <v>FFD 3S</v>
          </cell>
          <cell r="E97" t="str">
            <v>Singhania Motors Pvt. Ltd.</v>
          </cell>
          <cell r="F97" t="str">
            <v>Govindpur</v>
          </cell>
          <cell r="G97" t="str">
            <v>Dhanbad</v>
          </cell>
          <cell r="H97" t="str">
            <v>Singhania</v>
          </cell>
        </row>
        <row r="98">
          <cell r="B98">
            <v>10372</v>
          </cell>
          <cell r="C98" t="str">
            <v>3S</v>
          </cell>
          <cell r="D98" t="str">
            <v>FFD 3S</v>
          </cell>
          <cell r="E98" t="str">
            <v>Singhania Motors Pvt. Ltd.</v>
          </cell>
          <cell r="F98" t="str">
            <v>Ormanjhi</v>
          </cell>
          <cell r="G98" t="str">
            <v>Ranchi</v>
          </cell>
          <cell r="H98" t="str">
            <v>Singhania</v>
          </cell>
        </row>
        <row r="99">
          <cell r="B99">
            <v>10102</v>
          </cell>
          <cell r="C99" t="str">
            <v>3S</v>
          </cell>
          <cell r="D99" t="str">
            <v>FFD 3S</v>
          </cell>
          <cell r="E99" t="str">
            <v>Speed Automotive Pvt. Ltd.</v>
          </cell>
          <cell r="F99" t="str">
            <v>Chandandih</v>
          </cell>
          <cell r="G99" t="str">
            <v>Raipur</v>
          </cell>
          <cell r="H99" t="str">
            <v>SPEED</v>
          </cell>
        </row>
        <row r="100">
          <cell r="B100">
            <v>10375</v>
          </cell>
          <cell r="C100" t="str">
            <v>3S</v>
          </cell>
          <cell r="D100" t="str">
            <v>FFD 3S</v>
          </cell>
          <cell r="E100" t="str">
            <v>Speed Automotive Pvt. Ltd.</v>
          </cell>
          <cell r="F100" t="str">
            <v>Biha</v>
          </cell>
          <cell r="G100" t="str">
            <v>Bilaspur</v>
          </cell>
          <cell r="H100" t="str">
            <v>SPEED</v>
          </cell>
        </row>
        <row r="101">
          <cell r="B101">
            <v>20369</v>
          </cell>
          <cell r="C101" t="str">
            <v>Workshop</v>
          </cell>
          <cell r="D101" t="str">
            <v>FFD 3S Split</v>
          </cell>
          <cell r="E101" t="str">
            <v>Speedworks Auto Private Limited</v>
          </cell>
          <cell r="F101" t="str">
            <v>Dada Nagar</v>
          </cell>
          <cell r="G101" t="str">
            <v>Kanpur</v>
          </cell>
          <cell r="H101" t="str">
            <v>Speedworks</v>
          </cell>
        </row>
        <row r="102">
          <cell r="B102">
            <v>10346</v>
          </cell>
          <cell r="C102" t="str">
            <v>3S</v>
          </cell>
          <cell r="D102" t="str">
            <v>FFD 3S</v>
          </cell>
          <cell r="E102" t="str">
            <v>(Apunar) SSB Automobiles Pvt. Ltd.</v>
          </cell>
          <cell r="F102" t="str">
            <v>Khanapara</v>
          </cell>
          <cell r="G102" t="str">
            <v>Guwahati</v>
          </cell>
          <cell r="H102" t="str">
            <v>SSB</v>
          </cell>
        </row>
        <row r="103">
          <cell r="B103">
            <v>20316</v>
          </cell>
          <cell r="C103" t="str">
            <v>Workshop</v>
          </cell>
          <cell r="D103" t="str">
            <v>FFD 3S Split</v>
          </cell>
          <cell r="E103" t="str">
            <v>Stellar Autohaus Pvt. Ltd.  </v>
          </cell>
          <cell r="F103" t="str">
            <v>Mohammedpura</v>
          </cell>
          <cell r="G103" t="str">
            <v>Ahmedabad</v>
          </cell>
          <cell r="H103" t="str">
            <v>STELLAR</v>
          </cell>
        </row>
        <row r="104">
          <cell r="B104">
            <v>20333</v>
          </cell>
          <cell r="C104" t="str">
            <v>Workshop</v>
          </cell>
          <cell r="D104" t="str">
            <v>FFD 3S Split</v>
          </cell>
          <cell r="E104" t="str">
            <v>Stellar Autohaus Pvt. Ltd.  </v>
          </cell>
          <cell r="F104" t="str">
            <v>Punagam</v>
          </cell>
          <cell r="G104" t="str">
            <v>Surat</v>
          </cell>
          <cell r="H104" t="str">
            <v>STELLAR</v>
          </cell>
        </row>
        <row r="105">
          <cell r="B105">
            <v>20323</v>
          </cell>
          <cell r="C105" t="str">
            <v>Workshop</v>
          </cell>
          <cell r="D105" t="str">
            <v>FFD 3S Split</v>
          </cell>
          <cell r="E105" t="str">
            <v>Stellar Autohaus Pvt. Ltd.  </v>
          </cell>
          <cell r="F105" t="str">
            <v>Chhani</v>
          </cell>
          <cell r="G105" t="str">
            <v>Vadodara</v>
          </cell>
          <cell r="H105" t="str">
            <v>STELLAR</v>
          </cell>
        </row>
        <row r="106">
          <cell r="B106">
            <v>20353</v>
          </cell>
          <cell r="C106" t="str">
            <v>Workshop</v>
          </cell>
          <cell r="D106" t="str">
            <v>FFD 3S Split</v>
          </cell>
          <cell r="E106" t="str">
            <v xml:space="preserve">SV Autowheels LLP </v>
          </cell>
          <cell r="F106" t="str">
            <v>Rajnagar</v>
          </cell>
          <cell r="G106" t="str">
            <v>Patna</v>
          </cell>
          <cell r="H106" t="str">
            <v>SVA</v>
          </cell>
        </row>
        <row r="107">
          <cell r="B107">
            <v>22021</v>
          </cell>
          <cell r="C107" t="str">
            <v>Workshop</v>
          </cell>
          <cell r="D107" t="str">
            <v>FFD 3S Split</v>
          </cell>
          <cell r="E107" t="str">
            <v>Tafe Access Limited</v>
          </cell>
          <cell r="F107" t="str">
            <v>Off Hosur Road</v>
          </cell>
          <cell r="G107" t="str">
            <v>Bengaluru</v>
          </cell>
          <cell r="H107" t="str">
            <v>TAFE</v>
          </cell>
        </row>
        <row r="108">
          <cell r="B108">
            <v>23021</v>
          </cell>
          <cell r="C108" t="str">
            <v>Workshop</v>
          </cell>
          <cell r="D108" t="str">
            <v>FFD 3S Split</v>
          </cell>
          <cell r="E108" t="str">
            <v>Tafe Access Limited</v>
          </cell>
          <cell r="F108" t="str">
            <v>Urva Market</v>
          </cell>
          <cell r="G108" t="str">
            <v>Mangalore</v>
          </cell>
          <cell r="H108" t="str">
            <v>TAFE</v>
          </cell>
        </row>
        <row r="109">
          <cell r="B109">
            <v>10394</v>
          </cell>
          <cell r="C109" t="str">
            <v>3S</v>
          </cell>
          <cell r="D109" t="str">
            <v>FFD 3S</v>
          </cell>
          <cell r="E109" t="str">
            <v>United Wheels</v>
          </cell>
          <cell r="F109" t="str">
            <v>Ambala Cantonment</v>
          </cell>
          <cell r="G109" t="str">
            <v>Ambala</v>
          </cell>
          <cell r="H109" t="str">
            <v>United</v>
          </cell>
        </row>
        <row r="110">
          <cell r="B110">
            <v>20396</v>
          </cell>
          <cell r="C110" t="str">
            <v>Workshop</v>
          </cell>
          <cell r="D110" t="str">
            <v>FFD 3S Split</v>
          </cell>
          <cell r="E110" t="str">
            <v>Utsav India Cars LLP</v>
          </cell>
          <cell r="F110" t="str">
            <v>Basni 2nd Phase</v>
          </cell>
          <cell r="G110" t="str">
            <v>Jodhpur</v>
          </cell>
          <cell r="H110" t="str">
            <v>Utsav</v>
          </cell>
        </row>
        <row r="111">
          <cell r="B111">
            <v>20292</v>
          </cell>
          <cell r="C111" t="str">
            <v>Workshop</v>
          </cell>
          <cell r="D111" t="str">
            <v>FFD 3S Split</v>
          </cell>
          <cell r="E111" t="str">
            <v>Wheelocity Motors Pvt. Ltd.</v>
          </cell>
          <cell r="F111" t="str">
            <v>Jammu</v>
          </cell>
          <cell r="G111" t="str">
            <v>Jammu</v>
          </cell>
          <cell r="H111" t="str">
            <v>Elysian+WMPL</v>
          </cell>
        </row>
        <row r="112">
          <cell r="B112">
            <v>20352</v>
          </cell>
          <cell r="C112" t="str">
            <v>Workshop</v>
          </cell>
          <cell r="D112" t="str">
            <v>FFD 3S Split</v>
          </cell>
          <cell r="E112" t="str">
            <v xml:space="preserve">(Zedex) Shekhawati Electronics Pvt. Ltd. </v>
          </cell>
          <cell r="F112" t="str">
            <v>Sahibabad</v>
          </cell>
          <cell r="G112" t="str">
            <v>Ghaziabad</v>
          </cell>
          <cell r="H112" t="str">
            <v>Zedex</v>
          </cell>
        </row>
        <row r="113">
          <cell r="B113">
            <v>20418</v>
          </cell>
          <cell r="C113" t="str">
            <v>Workshop</v>
          </cell>
          <cell r="D113" t="str">
            <v>FFD 3S Split</v>
          </cell>
          <cell r="E113" t="str">
            <v>(SPL) Sanwaria Automotive Pvt. Ltd</v>
          </cell>
          <cell r="F113" t="str">
            <v>NH 12 Road</v>
          </cell>
          <cell r="G113" t="str">
            <v>Barasat</v>
          </cell>
          <cell r="H113" t="str">
            <v>SPL</v>
          </cell>
        </row>
        <row r="114">
          <cell r="B114">
            <v>20411</v>
          </cell>
          <cell r="C114"/>
          <cell r="D114" t="str">
            <v>FFD 3S Split</v>
          </cell>
          <cell r="E114" t="str">
            <v>Ramani Automotive Excellence Pvt. Ltd.</v>
          </cell>
          <cell r="F114" t="str">
            <v>Kappalur</v>
          </cell>
          <cell r="G114" t="str">
            <v>Madurai</v>
          </cell>
          <cell r="H114" t="str">
            <v>Ramani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Quality KPIs 2025"/>
      <sheetName val="Quality Bonus Program 2025"/>
      <sheetName val="Investor_Level_Summary"/>
      <sheetName val="Summary"/>
      <sheetName val="Stimulator"/>
      <sheetName val="Payout Calculation"/>
      <sheetName val="Payout logic"/>
      <sheetName val="Sales"/>
      <sheetName val="Investor_Qlty_Bonus"/>
      <sheetName val="Sheet2"/>
      <sheetName val="Service"/>
      <sheetName val="Input_Value"/>
      <sheetName val="Input_Value_Service"/>
      <sheetName val="KPI Timelines"/>
      <sheetName val="MS Result_Feb_W1_Result"/>
      <sheetName val="CC_Analysis"/>
      <sheetName val="GMB_Data_Verification"/>
      <sheetName val="Missing_DC_MS_ERR"/>
      <sheetName val="Missing_DC_PSI"/>
      <sheetName val="MS_FW1_Data"/>
      <sheetName val="Retail"/>
      <sheetName val="Sheet1"/>
      <sheetName val="Paramater_Data_Details"/>
      <sheetName val="GMB"/>
      <sheetName val="TD Ratio"/>
      <sheetName val="MP certification"/>
      <sheetName val="Manpower Norms 2025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4">
          <cell r="B4" t="str">
            <v>KVPS Code</v>
          </cell>
          <cell r="C4" t="str">
            <v>Type</v>
          </cell>
          <cell r="D4" t="str">
            <v>Dealership Name</v>
          </cell>
          <cell r="E4" t="str">
            <v>Location</v>
          </cell>
          <cell r="F4" t="str">
            <v>City</v>
          </cell>
        </row>
        <row r="5">
          <cell r="B5">
            <v>20279</v>
          </cell>
          <cell r="C5" t="str">
            <v>Workshop</v>
          </cell>
          <cell r="D5" t="str">
            <v>Aryaveer Motors Pvt. Ltd.</v>
          </cell>
          <cell r="E5" t="str">
            <v>Moti Nagar</v>
          </cell>
          <cell r="F5" t="str">
            <v>New Delhi</v>
          </cell>
        </row>
        <row r="6">
          <cell r="B6">
            <v>20281</v>
          </cell>
          <cell r="C6" t="str">
            <v>Workshop</v>
          </cell>
          <cell r="D6" t="str">
            <v>Jai Auto Vehicles Pvt. Ltd.</v>
          </cell>
          <cell r="E6" t="str">
            <v>Mathura Road</v>
          </cell>
          <cell r="F6" t="str">
            <v>New Delhi</v>
          </cell>
        </row>
        <row r="7">
          <cell r="B7">
            <v>20363</v>
          </cell>
          <cell r="C7" t="str">
            <v>Workshop</v>
          </cell>
          <cell r="D7" t="str">
            <v>Ring Road Motocorp Pvt. Ltd.</v>
          </cell>
          <cell r="E7" t="str">
            <v>Jahangirpuri</v>
          </cell>
          <cell r="F7" t="str">
            <v>New Delhi</v>
          </cell>
        </row>
        <row r="8">
          <cell r="B8">
            <v>10361</v>
          </cell>
          <cell r="C8" t="str">
            <v>3S</v>
          </cell>
          <cell r="D8" t="str">
            <v>Excel Cars Pvt. Ltd.</v>
          </cell>
          <cell r="E8" t="str">
            <v>Industrial Area, Phase 1</v>
          </cell>
          <cell r="F8" t="str">
            <v>Faridabad</v>
          </cell>
        </row>
        <row r="9">
          <cell r="B9">
            <v>20277</v>
          </cell>
          <cell r="C9" t="str">
            <v>3S</v>
          </cell>
          <cell r="D9" t="str">
            <v>Jai Auto Vehicles Pvt. Ltd.</v>
          </cell>
          <cell r="E9" t="str">
            <v>Sector 15</v>
          </cell>
          <cell r="F9" t="str">
            <v>Gurugram</v>
          </cell>
        </row>
        <row r="10">
          <cell r="B10">
            <v>20359</v>
          </cell>
          <cell r="C10" t="str">
            <v>Workshop</v>
          </cell>
          <cell r="D10" t="str">
            <v>Ring Road Motocorp Pvt. Ltd.</v>
          </cell>
          <cell r="E10" t="str">
            <v>Sector 18</v>
          </cell>
          <cell r="F10" t="str">
            <v>Gurugram</v>
          </cell>
        </row>
        <row r="11">
          <cell r="B11">
            <v>20352</v>
          </cell>
          <cell r="C11" t="str">
            <v>Workshop</v>
          </cell>
          <cell r="D11" t="str">
            <v xml:space="preserve">(Zedex) Shekhawati Electronics Pvt. Ltd. </v>
          </cell>
          <cell r="E11" t="str">
            <v>Sahibabad</v>
          </cell>
          <cell r="F11" t="str">
            <v>Ghaziabad</v>
          </cell>
        </row>
        <row r="12">
          <cell r="B12">
            <v>20330</v>
          </cell>
          <cell r="C12" t="str">
            <v>Workshop</v>
          </cell>
          <cell r="D12" t="str">
            <v>Brite AutoWheels Pvt. Ltd.</v>
          </cell>
          <cell r="E12" t="str">
            <v>Sector 6</v>
          </cell>
          <cell r="F12" t="str">
            <v>Noida</v>
          </cell>
        </row>
        <row r="13">
          <cell r="B13">
            <v>10358</v>
          </cell>
          <cell r="C13" t="str">
            <v>3S</v>
          </cell>
          <cell r="D13" t="str">
            <v>Berk Autozone LLP</v>
          </cell>
          <cell r="E13" t="str">
            <v>Industrial Area, Phase 1</v>
          </cell>
          <cell r="F13" t="str">
            <v>Panchkula</v>
          </cell>
        </row>
        <row r="14">
          <cell r="B14">
            <v>10288</v>
          </cell>
          <cell r="C14" t="str">
            <v>3S</v>
          </cell>
          <cell r="D14" t="str">
            <v>BLC Autosales Pvt. Ltd.</v>
          </cell>
          <cell r="E14" t="str">
            <v>Hisar</v>
          </cell>
          <cell r="F14" t="str">
            <v>Hissar</v>
          </cell>
        </row>
        <row r="15">
          <cell r="B15">
            <v>10100</v>
          </cell>
          <cell r="C15" t="str">
            <v>3S</v>
          </cell>
          <cell r="D15" t="str">
            <v>Sidak Automobiles Pvt. Ltd.</v>
          </cell>
          <cell r="E15" t="str">
            <v>Opposite Nilkanth Dhaba</v>
          </cell>
          <cell r="F15" t="str">
            <v>Karnal</v>
          </cell>
        </row>
        <row r="16">
          <cell r="B16">
            <v>10394</v>
          </cell>
          <cell r="C16" t="str">
            <v>3S</v>
          </cell>
          <cell r="D16" t="str">
            <v>United Wheels</v>
          </cell>
          <cell r="E16" t="str">
            <v>Ambala Cantonment</v>
          </cell>
          <cell r="F16" t="str">
            <v>Ambala</v>
          </cell>
        </row>
        <row r="17">
          <cell r="B17">
            <v>10202</v>
          </cell>
          <cell r="C17" t="str">
            <v>3S</v>
          </cell>
          <cell r="D17" t="str">
            <v>Dev Bhoomi Motors Pvt. Ltd.</v>
          </cell>
          <cell r="E17" t="str">
            <v>Guttkar</v>
          </cell>
          <cell r="F17" t="str">
            <v>Mandi</v>
          </cell>
        </row>
        <row r="18">
          <cell r="B18">
            <v>20292</v>
          </cell>
          <cell r="C18" t="str">
            <v>Workshop</v>
          </cell>
          <cell r="D18" t="str">
            <v>Wheelocity Motors Pvt. Ltd.</v>
          </cell>
          <cell r="E18" t="str">
            <v>Jammu</v>
          </cell>
          <cell r="F18" t="str">
            <v>Jammu</v>
          </cell>
        </row>
        <row r="19">
          <cell r="B19">
            <v>20377</v>
          </cell>
          <cell r="C19" t="str">
            <v>Workshop</v>
          </cell>
          <cell r="D19" t="str">
            <v>HD Autowheels Pvt. Ltd.</v>
          </cell>
          <cell r="E19" t="str">
            <v>Rakshikagarh</v>
          </cell>
          <cell r="F19" t="str">
            <v>Amritsar</v>
          </cell>
        </row>
        <row r="20">
          <cell r="B20">
            <v>10016</v>
          </cell>
          <cell r="C20" t="str">
            <v>3S</v>
          </cell>
          <cell r="D20" t="str">
            <v xml:space="preserve">Krishna Auto Sales </v>
          </cell>
          <cell r="E20" t="str">
            <v>Industrial Area, Phase 1</v>
          </cell>
          <cell r="F20" t="str">
            <v>Chandigarh</v>
          </cell>
        </row>
        <row r="21">
          <cell r="B21">
            <v>10018</v>
          </cell>
          <cell r="C21" t="str">
            <v>3S</v>
          </cell>
          <cell r="D21" t="str">
            <v xml:space="preserve">Krishna Auto Sales </v>
          </cell>
          <cell r="E21" t="str">
            <v>Kapurthala</v>
          </cell>
          <cell r="F21" t="str">
            <v>Jalandhar</v>
          </cell>
        </row>
        <row r="22">
          <cell r="B22">
            <v>10017</v>
          </cell>
          <cell r="C22" t="str">
            <v>3S</v>
          </cell>
          <cell r="D22" t="str">
            <v xml:space="preserve">Krishna Auto Sales </v>
          </cell>
          <cell r="E22" t="str">
            <v>Dhandari Kalan</v>
          </cell>
          <cell r="F22" t="str">
            <v>Ludhiana</v>
          </cell>
        </row>
        <row r="23">
          <cell r="B23">
            <v>10356</v>
          </cell>
          <cell r="C23" t="str">
            <v>3S</v>
          </cell>
          <cell r="D23" t="str">
            <v xml:space="preserve">Fatehpuria Motocorp Pvt. Ltd. </v>
          </cell>
          <cell r="E23" t="str">
            <v>IPIA</v>
          </cell>
          <cell r="F23" t="str">
            <v>Kota</v>
          </cell>
        </row>
        <row r="24">
          <cell r="B24">
            <v>20290</v>
          </cell>
          <cell r="C24" t="str">
            <v>Workshop</v>
          </cell>
          <cell r="D24" t="str">
            <v>Saisha Motors Pvt. Ltd.</v>
          </cell>
          <cell r="E24" t="str">
            <v>Ramchandrapura</v>
          </cell>
          <cell r="F24" t="str">
            <v>Jaipur</v>
          </cell>
        </row>
        <row r="25">
          <cell r="B25">
            <v>10392</v>
          </cell>
          <cell r="C25" t="str">
            <v>3S</v>
          </cell>
          <cell r="D25" t="str">
            <v>Shanta Motors Pvt. Ltd.</v>
          </cell>
          <cell r="E25" t="str">
            <v>Amberi</v>
          </cell>
          <cell r="F25" t="str">
            <v>Udaipur</v>
          </cell>
        </row>
        <row r="26">
          <cell r="B26">
            <v>20396</v>
          </cell>
          <cell r="C26" t="str">
            <v>Workshop</v>
          </cell>
          <cell r="D26" t="str">
            <v>Utsav India Cars LLP</v>
          </cell>
          <cell r="E26" t="str">
            <v>Basni 2nd Phase</v>
          </cell>
          <cell r="F26" t="str">
            <v>Jodhpur</v>
          </cell>
        </row>
        <row r="27">
          <cell r="B27">
            <v>20365</v>
          </cell>
          <cell r="C27" t="str">
            <v>Workshop</v>
          </cell>
          <cell r="D27" t="str">
            <v>Avya Automotives</v>
          </cell>
          <cell r="E27" t="str">
            <v>Begum Bazar</v>
          </cell>
          <cell r="F27" t="str">
            <v>Prayagraj</v>
          </cell>
        </row>
        <row r="28">
          <cell r="B28">
            <v>10367</v>
          </cell>
          <cell r="C28" t="str">
            <v>3S</v>
          </cell>
          <cell r="D28" t="str">
            <v>Commercial Automotives Pvt. Ltd.</v>
          </cell>
          <cell r="E28" t="str">
            <v>Rampur Road</v>
          </cell>
          <cell r="F28" t="str">
            <v>Bareilly</v>
          </cell>
        </row>
        <row r="29">
          <cell r="B29">
            <v>10336</v>
          </cell>
          <cell r="C29" t="str">
            <v>3S</v>
          </cell>
          <cell r="D29" t="str">
            <v>Prem Garages Pvt. Ltd.</v>
          </cell>
          <cell r="E29" t="str">
            <v>Agra</v>
          </cell>
          <cell r="F29" t="str">
            <v>Agra</v>
          </cell>
        </row>
        <row r="30">
          <cell r="B30">
            <v>20369</v>
          </cell>
          <cell r="C30" t="str">
            <v>Workshop</v>
          </cell>
          <cell r="D30" t="str">
            <v>Speedworks Auto Private Limited</v>
          </cell>
          <cell r="E30" t="str">
            <v>Dada Nagar</v>
          </cell>
          <cell r="F30" t="str">
            <v>Kanpur</v>
          </cell>
        </row>
        <row r="31">
          <cell r="B31">
            <v>10393</v>
          </cell>
          <cell r="C31" t="str">
            <v>3S</v>
          </cell>
          <cell r="D31" t="str">
            <v>MM Auto Sales Pvt Ltd.</v>
          </cell>
          <cell r="E31" t="str">
            <v>Haraya</v>
          </cell>
          <cell r="F31" t="str">
            <v>Gorakhpur</v>
          </cell>
        </row>
        <row r="32">
          <cell r="B32">
            <v>20402</v>
          </cell>
          <cell r="C32" t="str">
            <v>3S</v>
          </cell>
          <cell r="D32" t="str">
            <v>RN Mobility Pvt. Ltd.</v>
          </cell>
          <cell r="E32" t="str">
            <v>PTC Centre</v>
          </cell>
          <cell r="F32" t="str">
            <v>Saharanpur</v>
          </cell>
        </row>
        <row r="33">
          <cell r="B33">
            <v>20401</v>
          </cell>
          <cell r="C33" t="str">
            <v>Workshop</v>
          </cell>
          <cell r="D33" t="str">
            <v>Automovers Auto Industries Pvt Ltd</v>
          </cell>
          <cell r="E33" t="str">
            <v>Faizabad Road</v>
          </cell>
          <cell r="F33" t="str">
            <v>Lucknow</v>
          </cell>
        </row>
        <row r="34">
          <cell r="B34">
            <v>20364</v>
          </cell>
          <cell r="C34" t="str">
            <v>Workshop</v>
          </cell>
          <cell r="D34" t="str">
            <v>DDPM Automobiles LLP</v>
          </cell>
          <cell r="E34" t="str">
            <v>Dudhli Road</v>
          </cell>
          <cell r="F34" t="str">
            <v>Dehradun</v>
          </cell>
        </row>
        <row r="35">
          <cell r="B35">
            <v>10387</v>
          </cell>
          <cell r="C35" t="str">
            <v>3S</v>
          </cell>
          <cell r="D35" t="str">
            <v>Pal Prateek Automobile LLP</v>
          </cell>
          <cell r="E35" t="str">
            <v>Dewalchour</v>
          </cell>
          <cell r="F35" t="str">
            <v>Haldwani</v>
          </cell>
        </row>
        <row r="36">
          <cell r="B36">
            <v>10346</v>
          </cell>
          <cell r="C36" t="str">
            <v>3S</v>
          </cell>
          <cell r="D36" t="str">
            <v>(Apunar) SSB Automobiles Pvt. Ltd.</v>
          </cell>
          <cell r="E36" t="str">
            <v>Khanapara</v>
          </cell>
          <cell r="F36" t="str">
            <v>Guwahati</v>
          </cell>
        </row>
        <row r="37">
          <cell r="B37">
            <v>10397</v>
          </cell>
          <cell r="C37" t="str">
            <v>3S</v>
          </cell>
          <cell r="D37" t="str">
            <v>K Cube Motors LLP</v>
          </cell>
          <cell r="E37" t="str">
            <v>Naharlagun</v>
          </cell>
          <cell r="F37" t="str">
            <v>Itanagar</v>
          </cell>
        </row>
        <row r="38">
          <cell r="B38">
            <v>20353</v>
          </cell>
          <cell r="C38" t="str">
            <v>Workshop</v>
          </cell>
          <cell r="D38" t="str">
            <v xml:space="preserve">SV Autowheels LLP </v>
          </cell>
          <cell r="E38" t="str">
            <v>Rajnagar</v>
          </cell>
          <cell r="F38" t="str">
            <v>Patna</v>
          </cell>
        </row>
        <row r="39">
          <cell r="B39">
            <v>10082</v>
          </cell>
          <cell r="C39" t="str">
            <v>3S</v>
          </cell>
          <cell r="D39" t="str">
            <v>Imperial Vehicles Pvt. Ltd.</v>
          </cell>
          <cell r="E39" t="str">
            <v>Adityapur</v>
          </cell>
          <cell r="F39" t="str">
            <v>Jamshedpur</v>
          </cell>
        </row>
        <row r="40">
          <cell r="B40">
            <v>10373</v>
          </cell>
          <cell r="C40" t="str">
            <v>3S</v>
          </cell>
          <cell r="D40" t="str">
            <v>Singhania Motors Pvt. Ltd.</v>
          </cell>
          <cell r="E40" t="str">
            <v>Govindpur</v>
          </cell>
          <cell r="F40" t="str">
            <v>Dhanbad</v>
          </cell>
        </row>
        <row r="41">
          <cell r="B41">
            <v>10372</v>
          </cell>
          <cell r="C41" t="str">
            <v>3S</v>
          </cell>
          <cell r="D41" t="str">
            <v>Singhania Motors Pvt. Ltd.</v>
          </cell>
          <cell r="E41" t="str">
            <v>Ormanjhi</v>
          </cell>
          <cell r="F41" t="str">
            <v>Ranchi</v>
          </cell>
        </row>
        <row r="42">
          <cell r="B42">
            <v>10296</v>
          </cell>
          <cell r="C42" t="str">
            <v>3S</v>
          </cell>
          <cell r="D42" t="str">
            <v xml:space="preserve">(Trinity) Durgesh Motors Pvt. Ltd. </v>
          </cell>
          <cell r="E42" t="str">
            <v>Bhubaneshwar</v>
          </cell>
          <cell r="F42" t="str">
            <v>Cuttack</v>
          </cell>
        </row>
        <row r="43">
          <cell r="B43">
            <v>20294</v>
          </cell>
          <cell r="C43" t="str">
            <v>Workshop</v>
          </cell>
          <cell r="D43" t="str">
            <v>Global Motocorp LLP</v>
          </cell>
          <cell r="E43" t="str">
            <v>Anandapur</v>
          </cell>
          <cell r="F43" t="str">
            <v>Kolkata</v>
          </cell>
        </row>
        <row r="44">
          <cell r="B44">
            <v>10102</v>
          </cell>
          <cell r="C44" t="str">
            <v>3S</v>
          </cell>
          <cell r="D44" t="str">
            <v>Speed Automotive Pvt. Ltd.</v>
          </cell>
          <cell r="E44" t="str">
            <v>Chandandih</v>
          </cell>
          <cell r="F44" t="str">
            <v>Raipur</v>
          </cell>
        </row>
        <row r="45">
          <cell r="B45">
            <v>10375</v>
          </cell>
          <cell r="C45" t="str">
            <v>3S</v>
          </cell>
          <cell r="D45" t="str">
            <v>Speed Automotive Pvt. Ltd.</v>
          </cell>
          <cell r="E45" t="str">
            <v>Biha</v>
          </cell>
          <cell r="F45" t="str">
            <v>Bilaspur</v>
          </cell>
        </row>
        <row r="46">
          <cell r="B46">
            <v>10161</v>
          </cell>
          <cell r="C46" t="str">
            <v>Workshop</v>
          </cell>
          <cell r="D46" t="str">
            <v>Emporium Automobile Pvt. Ltd.</v>
          </cell>
          <cell r="E46" t="str">
            <v>Verna</v>
          </cell>
          <cell r="F46" t="str">
            <v>Goa</v>
          </cell>
        </row>
        <row r="47">
          <cell r="B47">
            <v>10374</v>
          </cell>
          <cell r="C47" t="str">
            <v>3S</v>
          </cell>
          <cell r="D47" t="str">
            <v>Eminent Motocorp Pvt. Ltd.</v>
          </cell>
          <cell r="E47" t="str">
            <v xml:space="preserve">Vastral </v>
          </cell>
          <cell r="F47" t="str">
            <v>Ahmedabad</v>
          </cell>
        </row>
        <row r="48">
          <cell r="B48">
            <v>10349</v>
          </cell>
          <cell r="C48" t="str">
            <v>3S</v>
          </cell>
          <cell r="D48" t="str">
            <v>Presidency Cars Pvt. Ltd.</v>
          </cell>
          <cell r="E48" t="str">
            <v>City Light Road</v>
          </cell>
          <cell r="F48" t="str">
            <v>Surat</v>
          </cell>
        </row>
        <row r="49">
          <cell r="B49">
            <v>20335</v>
          </cell>
          <cell r="C49" t="str">
            <v>Workshop</v>
          </cell>
          <cell r="D49" t="str">
            <v>Shreenathji Automobiles Pvt. Ltd.</v>
          </cell>
          <cell r="E49" t="str">
            <v>Kangsiyali</v>
          </cell>
          <cell r="F49" t="str">
            <v>Rajkot</v>
          </cell>
        </row>
        <row r="50">
          <cell r="B50">
            <v>20316</v>
          </cell>
          <cell r="C50" t="str">
            <v>Workshop</v>
          </cell>
          <cell r="D50" t="str">
            <v>Stellar Autohaus Pvt. Ltd.  </v>
          </cell>
          <cell r="E50" t="str">
            <v>Mohammedpura</v>
          </cell>
          <cell r="F50" t="str">
            <v>Ahmedabad</v>
          </cell>
        </row>
        <row r="51">
          <cell r="B51">
            <v>20333</v>
          </cell>
          <cell r="C51" t="str">
            <v>Workshop</v>
          </cell>
          <cell r="D51" t="str">
            <v>Stellar Autohaus Pvt. Ltd.  </v>
          </cell>
          <cell r="E51" t="str">
            <v>Punagam</v>
          </cell>
          <cell r="F51" t="str">
            <v>Surat</v>
          </cell>
        </row>
        <row r="52">
          <cell r="B52">
            <v>20323</v>
          </cell>
          <cell r="C52" t="str">
            <v>Workshop</v>
          </cell>
          <cell r="D52" t="str">
            <v>Stellar Autohaus Pvt. Ltd.  </v>
          </cell>
          <cell r="E52" t="str">
            <v>Chhani</v>
          </cell>
          <cell r="F52" t="str">
            <v>Vadodara</v>
          </cell>
        </row>
        <row r="53">
          <cell r="B53">
            <v>20379</v>
          </cell>
          <cell r="C53" t="str">
            <v>Workshop</v>
          </cell>
          <cell r="D53" t="str">
            <v>(ASM) Ananya Sales Pvt. Ltd.</v>
          </cell>
          <cell r="E53" t="str">
            <v>Birla Nagar</v>
          </cell>
          <cell r="F53" t="str">
            <v>Gwalior</v>
          </cell>
        </row>
        <row r="54">
          <cell r="B54">
            <v>20341</v>
          </cell>
          <cell r="C54" t="str">
            <v>Workshop</v>
          </cell>
          <cell r="D54" t="str">
            <v>Frontier Cars India Pvt. Ltd.</v>
          </cell>
          <cell r="E54" t="str">
            <v>Jabalpur</v>
          </cell>
          <cell r="F54" t="str">
            <v>Jabalpur</v>
          </cell>
        </row>
        <row r="55">
          <cell r="B55">
            <v>10355</v>
          </cell>
          <cell r="C55" t="str">
            <v>3S</v>
          </cell>
          <cell r="D55" t="str">
            <v>Jagdish Motocorp Pvt. Ltd.</v>
          </cell>
          <cell r="E55" t="str">
            <v>Hoshangabad Road</v>
          </cell>
          <cell r="F55" t="str">
            <v>Bhopal</v>
          </cell>
        </row>
        <row r="56">
          <cell r="B56">
            <v>10025</v>
          </cell>
          <cell r="C56" t="str">
            <v>3S</v>
          </cell>
          <cell r="D56" t="str">
            <v>Satguru Motors</v>
          </cell>
          <cell r="E56" t="str">
            <v>Dewas Naka</v>
          </cell>
          <cell r="F56" t="str">
            <v>Indore</v>
          </cell>
        </row>
        <row r="57">
          <cell r="B57">
            <v>10302</v>
          </cell>
          <cell r="C57" t="str">
            <v>3S</v>
          </cell>
          <cell r="D57" t="str">
            <v>Akoya Motors Pvt. Ltd.</v>
          </cell>
          <cell r="E57" t="str">
            <v>Baner</v>
          </cell>
          <cell r="F57" t="str">
            <v>Pune</v>
          </cell>
        </row>
        <row r="58">
          <cell r="B58">
            <v>20399</v>
          </cell>
          <cell r="C58" t="str">
            <v>Workshop</v>
          </cell>
          <cell r="D58" t="str">
            <v>Garnet Motors (D) Pvt. Ltd.</v>
          </cell>
          <cell r="E58" t="str">
            <v>Pawne</v>
          </cell>
          <cell r="F58" t="str">
            <v>Mumbai</v>
          </cell>
        </row>
        <row r="59">
          <cell r="B59">
            <v>20344</v>
          </cell>
          <cell r="C59" t="str">
            <v>Workshop</v>
          </cell>
          <cell r="D59" t="str">
            <v>Mody India Cars Pvt. Ltd.</v>
          </cell>
          <cell r="E59" t="str">
            <v>Mahalaxmi</v>
          </cell>
          <cell r="F59" t="str">
            <v>Mumbai</v>
          </cell>
        </row>
        <row r="60">
          <cell r="B60">
            <v>20345</v>
          </cell>
          <cell r="C60" t="str">
            <v>Workshop</v>
          </cell>
          <cell r="D60" t="str">
            <v>Mody India Cars Pvt. Ltd.</v>
          </cell>
          <cell r="E60" t="str">
            <v>Kurla (West)</v>
          </cell>
          <cell r="F60" t="str">
            <v>Mumbai</v>
          </cell>
        </row>
        <row r="61">
          <cell r="B61">
            <v>20357</v>
          </cell>
          <cell r="C61" t="str">
            <v>Workshop</v>
          </cell>
          <cell r="D61" t="str">
            <v>Mody India Cars Pvt. Ltd.</v>
          </cell>
          <cell r="E61" t="str">
            <v>Goregaon (East)</v>
          </cell>
          <cell r="F61" t="str">
            <v>Mumbai</v>
          </cell>
        </row>
        <row r="62">
          <cell r="B62">
            <v>20391</v>
          </cell>
          <cell r="C62" t="str">
            <v>Workshop</v>
          </cell>
          <cell r="D62" t="str">
            <v>(Regent) Tejpal Motors Pvt. Ltd.</v>
          </cell>
          <cell r="E62" t="str">
            <v>Kandivali</v>
          </cell>
          <cell r="F62" t="str">
            <v>Mumbai</v>
          </cell>
        </row>
        <row r="63">
          <cell r="B63">
            <v>10370</v>
          </cell>
          <cell r="C63" t="str">
            <v>3S</v>
          </cell>
          <cell r="D63" t="str">
            <v>Moharir Motors Pvt. Ltd.</v>
          </cell>
          <cell r="E63" t="str">
            <v>Rajendra Nagar</v>
          </cell>
          <cell r="F63" t="str">
            <v>Nasik</v>
          </cell>
        </row>
        <row r="64">
          <cell r="B64">
            <v>20378</v>
          </cell>
          <cell r="C64" t="str">
            <v>Workshop</v>
          </cell>
          <cell r="D64" t="str">
            <v>Patni Autoventures LLP</v>
          </cell>
          <cell r="E64" t="str">
            <v>Central MIDC</v>
          </cell>
          <cell r="F64" t="str">
            <v>Nagpur</v>
          </cell>
        </row>
        <row r="65">
          <cell r="B65">
            <v>10032</v>
          </cell>
          <cell r="C65" t="str">
            <v>3S</v>
          </cell>
          <cell r="D65" t="str">
            <v>Sarra Motors Pvt. Ltd.</v>
          </cell>
          <cell r="E65" t="str">
            <v>Chhatrapati Sambhajinagar</v>
          </cell>
          <cell r="F65" t="str">
            <v>Chhatrapati Sambhajinagar</v>
          </cell>
        </row>
        <row r="66">
          <cell r="B66">
            <v>10026</v>
          </cell>
          <cell r="C66" t="str">
            <v>Workshop</v>
          </cell>
          <cell r="D66" t="str">
            <v>Shrine Auto Pvt. Ltd.</v>
          </cell>
          <cell r="E66" t="str">
            <v>Kolhapur</v>
          </cell>
          <cell r="F66" t="str">
            <v>Kolhapur</v>
          </cell>
        </row>
        <row r="67">
          <cell r="B67">
            <v>20380</v>
          </cell>
          <cell r="C67" t="str">
            <v>Workshop</v>
          </cell>
          <cell r="D67" t="str">
            <v>(Regent) Tejpal Motors Pvt. Ltd.</v>
          </cell>
          <cell r="E67" t="str">
            <v>Waghle Estate</v>
          </cell>
          <cell r="F67" t="str">
            <v>Thane</v>
          </cell>
        </row>
        <row r="68">
          <cell r="B68">
            <v>20322</v>
          </cell>
          <cell r="C68" t="str">
            <v>Workshop</v>
          </cell>
          <cell r="D68" t="str">
            <v>Garve Car Mania Pvt. Ltd.</v>
          </cell>
          <cell r="E68" t="str">
            <v>MIDC Bhosari</v>
          </cell>
          <cell r="F68" t="str">
            <v>Pune</v>
          </cell>
        </row>
        <row r="69">
          <cell r="B69">
            <v>26012</v>
          </cell>
          <cell r="C69" t="str">
            <v>3S</v>
          </cell>
          <cell r="D69" t="str">
            <v>Mahavir Auto  Diagnostics Pvt. Ltd.</v>
          </cell>
          <cell r="E69" t="str">
            <v>Vijayawada</v>
          </cell>
          <cell r="F69" t="str">
            <v>Vijayawada</v>
          </cell>
        </row>
        <row r="70">
          <cell r="B70">
            <v>22012</v>
          </cell>
          <cell r="C70" t="str">
            <v>3S</v>
          </cell>
          <cell r="D70" t="str">
            <v>Mahavir Auto  Diagnostics Pvt. Ltd.</v>
          </cell>
          <cell r="E70" t="str">
            <v>Vishakhapatnam</v>
          </cell>
          <cell r="F70" t="str">
            <v>Vishakhapatnam</v>
          </cell>
        </row>
        <row r="71">
          <cell r="B71">
            <v>20371</v>
          </cell>
          <cell r="C71" t="str">
            <v>Workshop</v>
          </cell>
          <cell r="D71" t="str">
            <v>PPS Motors Pvt. Ltd.</v>
          </cell>
          <cell r="E71" t="str">
            <v>Thookivakam Village</v>
          </cell>
          <cell r="F71" t="str">
            <v>Tirupati</v>
          </cell>
        </row>
        <row r="72">
          <cell r="B72">
            <v>20339</v>
          </cell>
          <cell r="C72" t="str">
            <v>Workshop</v>
          </cell>
          <cell r="D72" t="str">
            <v>PPS Motors Pvt. Ltd.</v>
          </cell>
          <cell r="E72" t="str">
            <v>Bengaluru</v>
          </cell>
          <cell r="F72" t="str">
            <v>Bengaluru</v>
          </cell>
        </row>
        <row r="73">
          <cell r="B73">
            <v>20347</v>
          </cell>
          <cell r="C73" t="str">
            <v>Workshop</v>
          </cell>
          <cell r="D73" t="str">
            <v>PPS Motors Pvt. Ltd.</v>
          </cell>
          <cell r="E73" t="str">
            <v>Bengaluru</v>
          </cell>
          <cell r="F73" t="str">
            <v>Bengaluru</v>
          </cell>
        </row>
        <row r="74">
          <cell r="B74">
            <v>20351</v>
          </cell>
          <cell r="C74" t="str">
            <v>Workshop</v>
          </cell>
          <cell r="D74" t="str">
            <v>Raja Ganesh Motors</v>
          </cell>
          <cell r="E74" t="str">
            <v>Mahadevpura</v>
          </cell>
          <cell r="F74" t="str">
            <v>Bengaluru</v>
          </cell>
        </row>
        <row r="75">
          <cell r="B75">
            <v>10343</v>
          </cell>
          <cell r="C75" t="str">
            <v>3S</v>
          </cell>
          <cell r="D75" t="str">
            <v>ShriBalaji AutoAgency Mysore Pvt. Ltd.</v>
          </cell>
          <cell r="E75" t="str">
            <v>Koorgalli Industrial Estate</v>
          </cell>
          <cell r="F75" t="str">
            <v>Mysore</v>
          </cell>
        </row>
        <row r="76">
          <cell r="B76">
            <v>22021</v>
          </cell>
          <cell r="C76" t="str">
            <v>Workshop</v>
          </cell>
          <cell r="D76" t="str">
            <v>Tafe Access Limited</v>
          </cell>
          <cell r="E76" t="str">
            <v>Off Hosur Road</v>
          </cell>
          <cell r="F76" t="str">
            <v>Bengaluru</v>
          </cell>
        </row>
        <row r="77">
          <cell r="B77">
            <v>23021</v>
          </cell>
          <cell r="C77" t="str">
            <v>Workshop</v>
          </cell>
          <cell r="D77" t="str">
            <v>Tafe Access Limited</v>
          </cell>
          <cell r="E77" t="str">
            <v>Urva Market</v>
          </cell>
          <cell r="F77" t="str">
            <v>Mangalore</v>
          </cell>
        </row>
        <row r="78">
          <cell r="B78">
            <v>10390</v>
          </cell>
          <cell r="C78" t="str">
            <v>3S</v>
          </cell>
          <cell r="D78" t="str">
            <v>Raja Motors Corporation</v>
          </cell>
          <cell r="E78" t="str">
            <v>Bairidevarkoppa</v>
          </cell>
          <cell r="F78" t="str">
            <v>Hubballi</v>
          </cell>
        </row>
        <row r="79">
          <cell r="B79">
            <v>20328</v>
          </cell>
          <cell r="C79" t="str">
            <v>Workshop</v>
          </cell>
          <cell r="D79" t="str">
            <v>EVM Motors &amp; Vehicles India Pvt. Ltd.</v>
          </cell>
          <cell r="E79" t="str">
            <v>Ernakulam</v>
          </cell>
          <cell r="F79" t="str">
            <v>Kochi</v>
          </cell>
        </row>
        <row r="80">
          <cell r="B80">
            <v>20340</v>
          </cell>
          <cell r="C80" t="str">
            <v>Workshop</v>
          </cell>
          <cell r="D80" t="str">
            <v>EVM Motors &amp; Vehicles India Pvt. Ltd.</v>
          </cell>
          <cell r="E80" t="str">
            <v>Meenchantha</v>
          </cell>
          <cell r="F80" t="str">
            <v>Calicut</v>
          </cell>
        </row>
        <row r="81">
          <cell r="B81">
            <v>20376</v>
          </cell>
          <cell r="C81" t="str">
            <v>Workshop</v>
          </cell>
          <cell r="D81" t="str">
            <v>EVM Motors &amp; Vehicles India Pvt. Ltd.</v>
          </cell>
          <cell r="E81" t="str">
            <v>Ettumanoor</v>
          </cell>
          <cell r="F81" t="str">
            <v>Kottayam</v>
          </cell>
        </row>
        <row r="82">
          <cell r="B82">
            <v>20366</v>
          </cell>
          <cell r="C82" t="str">
            <v>Workshop</v>
          </cell>
          <cell r="D82" t="str">
            <v>Gem Phoenix Auto Pvt. Ltd.</v>
          </cell>
          <cell r="E82" t="str">
            <v>Nadathara</v>
          </cell>
          <cell r="F82" t="str">
            <v>Thrissur</v>
          </cell>
        </row>
        <row r="83">
          <cell r="B83">
            <v>20381</v>
          </cell>
          <cell r="C83" t="str">
            <v>Workshop</v>
          </cell>
          <cell r="D83" t="str">
            <v>PPS Motors Pvt. Ltd.</v>
          </cell>
          <cell r="E83" t="str">
            <v>Chakkai</v>
          </cell>
          <cell r="F83" t="str">
            <v>Thiruvananthapuram</v>
          </cell>
        </row>
        <row r="84">
          <cell r="B84">
            <v>10382</v>
          </cell>
          <cell r="C84" t="str">
            <v>3S</v>
          </cell>
          <cell r="D84" t="str">
            <v>PPS Motors Pvt. Ltd.</v>
          </cell>
          <cell r="E84" t="str">
            <v>Koickal</v>
          </cell>
          <cell r="F84" t="str">
            <v>Kollam</v>
          </cell>
        </row>
        <row r="85">
          <cell r="B85">
            <v>20348</v>
          </cell>
          <cell r="C85" t="str">
            <v>Workshop</v>
          </cell>
          <cell r="D85" t="str">
            <v>Kun Motor Enterprises Pvt. Ltd.</v>
          </cell>
          <cell r="E85" t="str">
            <v>Lawspet</v>
          </cell>
          <cell r="F85" t="str">
            <v>Pondicherry</v>
          </cell>
        </row>
        <row r="86">
          <cell r="B86">
            <v>10211</v>
          </cell>
          <cell r="C86" t="str">
            <v>3S</v>
          </cell>
          <cell r="D86" t="str">
            <v>Aura Motors</v>
          </cell>
          <cell r="E86" t="str">
            <v>Tirunelveli</v>
          </cell>
          <cell r="F86" t="str">
            <v>Tirunelveli</v>
          </cell>
        </row>
        <row r="87">
          <cell r="B87">
            <v>10039</v>
          </cell>
          <cell r="C87" t="str">
            <v>Workshop</v>
          </cell>
          <cell r="D87" t="str">
            <v>Gurudev Motors Pvt. Ltd.</v>
          </cell>
          <cell r="E87" t="str">
            <v>Guindy</v>
          </cell>
          <cell r="F87" t="str">
            <v>Chennai</v>
          </cell>
        </row>
        <row r="88">
          <cell r="B88">
            <v>20061</v>
          </cell>
          <cell r="C88" t="str">
            <v>3S</v>
          </cell>
          <cell r="D88" t="str">
            <v>Gurudev Motors Pvt. Ltd.</v>
          </cell>
          <cell r="E88" t="str">
            <v>Perumugai</v>
          </cell>
          <cell r="F88" t="str">
            <v>Vellore</v>
          </cell>
        </row>
        <row r="89">
          <cell r="B89">
            <v>23039</v>
          </cell>
          <cell r="C89" t="str">
            <v>3S</v>
          </cell>
          <cell r="D89" t="str">
            <v>Gurudev Motors Pvt. Ltd.</v>
          </cell>
          <cell r="E89" t="str">
            <v>Ambattur</v>
          </cell>
          <cell r="F89" t="str">
            <v>Chennai</v>
          </cell>
        </row>
        <row r="90">
          <cell r="B90">
            <v>10118</v>
          </cell>
          <cell r="C90" t="str">
            <v>3S</v>
          </cell>
          <cell r="D90" t="str">
            <v>Gurudev Motors Pvt. Ltd.</v>
          </cell>
          <cell r="E90" t="str">
            <v>Ganapathy Nagar</v>
          </cell>
          <cell r="F90" t="str">
            <v>Trichy</v>
          </cell>
        </row>
        <row r="91">
          <cell r="B91">
            <v>20354</v>
          </cell>
          <cell r="C91" t="str">
            <v>Workshop</v>
          </cell>
          <cell r="D91" t="str">
            <v>Kun Motor Enterprises Pvt. Ltd.</v>
          </cell>
          <cell r="E91" t="str">
            <v>OMR</v>
          </cell>
          <cell r="F91" t="str">
            <v>Chennai</v>
          </cell>
        </row>
        <row r="92">
          <cell r="B92">
            <v>10291</v>
          </cell>
          <cell r="C92" t="str">
            <v>3S</v>
          </cell>
          <cell r="D92" t="str">
            <v>Maverick Motors</v>
          </cell>
          <cell r="E92" t="str">
            <v>Burma Colony</v>
          </cell>
          <cell r="F92" t="str">
            <v>Madurai</v>
          </cell>
        </row>
        <row r="93">
          <cell r="B93">
            <v>10141</v>
          </cell>
          <cell r="C93" t="str">
            <v>Workshop</v>
          </cell>
          <cell r="D93" t="str">
            <v>S7 Cars India Pvt. Ltd.</v>
          </cell>
          <cell r="E93" t="str">
            <v>Mamangam</v>
          </cell>
          <cell r="F93" t="str">
            <v>Salem</v>
          </cell>
        </row>
        <row r="94">
          <cell r="B94">
            <v>10259</v>
          </cell>
          <cell r="C94" t="str">
            <v>Workshop</v>
          </cell>
          <cell r="D94" t="str">
            <v xml:space="preserve">SGA Cars India Pvt. Ltd. </v>
          </cell>
          <cell r="E94" t="str">
            <v>Sowripalayam</v>
          </cell>
          <cell r="F94" t="str">
            <v>Coimbatore</v>
          </cell>
        </row>
        <row r="95">
          <cell r="B95">
            <v>23012</v>
          </cell>
          <cell r="C95" t="str">
            <v>Workshop</v>
          </cell>
          <cell r="D95" t="str">
            <v>Mahavir Auto  Diagnostics Pvt. Ltd.</v>
          </cell>
          <cell r="E95" t="str">
            <v>Sanath Nagar</v>
          </cell>
          <cell r="F95" t="str">
            <v>Hyderabad</v>
          </cell>
        </row>
        <row r="96">
          <cell r="B96">
            <v>24012</v>
          </cell>
          <cell r="C96" t="str">
            <v>Workshop</v>
          </cell>
          <cell r="D96" t="str">
            <v>Mahavir Auto  Diagnostics Pvt. Ltd.</v>
          </cell>
          <cell r="E96" t="str">
            <v>Brigadier Sayeed Road</v>
          </cell>
          <cell r="F96" t="str">
            <v>Secunderabad</v>
          </cell>
        </row>
        <row r="97">
          <cell r="B97">
            <v>20368</v>
          </cell>
          <cell r="C97" t="str">
            <v>Workshop</v>
          </cell>
          <cell r="D97" t="str">
            <v>Mody India Cars Pvt. Ltd.</v>
          </cell>
          <cell r="E97" t="str">
            <v>Uppal</v>
          </cell>
          <cell r="F97" t="str">
            <v>Hyderabad</v>
          </cell>
        </row>
        <row r="98">
          <cell r="B98">
            <v>20350</v>
          </cell>
          <cell r="C98" t="str">
            <v>Workshop</v>
          </cell>
          <cell r="D98" t="str">
            <v>PPS Motors Pvt. Ltd.</v>
          </cell>
          <cell r="E98" t="str">
            <v>Gachibowli</v>
          </cell>
          <cell r="F98" t="str">
            <v>Hyderabad</v>
          </cell>
        </row>
        <row r="99">
          <cell r="B99">
            <v>2</v>
          </cell>
          <cell r="C99">
            <v>3</v>
          </cell>
          <cell r="D99">
            <v>4</v>
          </cell>
          <cell r="E99">
            <v>5</v>
          </cell>
          <cell r="F99">
            <v>6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Pravin Gudihindin (IN)" id="{84B5AE28-BE65-4840-9990-4819099D4CAC}" userId="S::pravin.gudihindin@pwc.com::45828cca-27e5-4c2f-86ac-9469e053954f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vin Gudihindin" refreshedDate="46151.584988773146" createdVersion="8" refreshedVersion="8" minRefreshableVersion="3" recordCount="109" xr:uid="{C5A0C127-6DD7-48A7-95C3-E9AA286A3E2D}">
  <cacheSource type="worksheet">
    <worksheetSource ref="B2:S111" sheet="Main_Data_Service"/>
  </cacheSource>
  <cacheFields count="18">
    <cacheField name="Investor Code" numFmtId="0">
      <sharedItems containsBlank="1" count="93">
        <s v="SSB Automobiles Pvt Ltd2343"/>
        <s v="Ananya Sales Pvt Ltd2767"/>
        <s v="(Regent) Tejpal Motors Pvt. Ltd.1758"/>
        <s v="(Trinity) Durgesh Motors Pvt. Ltd. 4496"/>
        <s v="Shekhawati Electronics Pvt Ltd 2768"/>
        <s v="Akoya Motors Pvt Ltd4357"/>
        <s v="Aura Motors Pvt. Ltd + Maverick Motors 3616"/>
        <s v="Automovers Auto Industry Pvt. Ltd.3313"/>
        <s v="Avya Automobiles Pvt. Ltd.3530"/>
        <s v="Berk Autozone LLP1221"/>
        <s v="BLC Autosales Pvt Ltd+Sidak Automobiles1337"/>
        <s v="Brite Auto Wheels Private Limited3001"/>
        <s v="Commercial Automotives Pvt Ltd1703"/>
        <s v="DDPM Automobiles LLP3606"/>
        <s v="Dev Bhoomi Motors Pvt. Ltd1161"/>
        <s v="Emporium Automobile Pvt. Ltd.3955"/>
        <s v="EVM Motors &amp; Vehicles India Pvt Ltd3346"/>
        <s v="Excel Cars Pvt. Ltd.3343"/>
        <s v="Fatehpuria Motocorp Pvt Ltd 2688"/>
        <s v="Frontier Cars India Pvt Ltd3815"/>
        <s v="Garnet Motors (D) Pvt. Ltd.3766"/>
        <s v="Garve Car Mania Pvt Ltd2294"/>
        <s v="Gem Phoenix Auto Pvt Ltd2266"/>
        <s v="(Global) Fulcrum Autoline Pvt Ltd3258"/>
        <s v="Gurudev Motors Pvt. Ltd1453"/>
        <s v="HD Autowheels Pvt. Ltd.3420"/>
        <s v="Imperial 3S Jamshedpur 2466"/>
        <s v="Jai Auto Vehicles Pvt Ltd2452"/>
        <s v="K Cube Motors LLP1757"/>
        <s v="Krishna Auto Sales 1094"/>
        <s v="Kun Motor Enterprises Pvt Ltd1515"/>
        <s v="Mahavir Auto  Diagnostics Pvt. Ltd_AP2144"/>
        <s v="Mahavir Auto  Diagnostics Pvt. Ltd_TL3338"/>
        <s v="MM Auto Sales Pvt Ltd.2958"/>
        <s v="Mody India Cars Pvt Ltd_MH2515"/>
        <s v="Mody India Cars Pvt Ltd_TL3117"/>
        <s v="Moharir Motors Pvt. Ltd1367"/>
        <s v="Pal Prateek Automobile LLP1595"/>
        <s v="Patni Autoventures LLP2100"/>
        <s v="PPS Motors Pvt Ltd_AP1582"/>
        <s v="PPS Motors Pvt Ltd_KA1690"/>
        <s v="PPS Motors Pvt Ltd_Kerala3027"/>
        <s v="PPS Motors Pvt Ltd_TL3654"/>
        <s v="Prem Garages Pvt. Ltd2861"/>
        <s v="Presidency Cars Pvt. Ltd.2105"/>
        <s v="Raja Ganesh Motors2044"/>
        <s v="Raja Motors Corporation4183"/>
        <s v="Ring Road Motocorp Pvt Ltd2496"/>
        <s v="RN Mobility Pvt. Ltd.1862"/>
        <s v="S7 Cars India Pvt. Ltd1204"/>
        <s v="Saisha Motors Pvt Ltd1987"/>
        <s v="Sarra Motors1958"/>
        <s v="Satguru Motors1489"/>
        <s v="SGA Cars India Pvt Ltd 2154"/>
        <s v="Shanta Motors Pvt. Ltd.2185"/>
        <s v="Shreenathji Automobiles Pvt Ltd2774"/>
        <s v="ShriBalaji AutoAgency Mysore Pvt. Ltd2168"/>
        <s v="Unique Automobiles (Cars) Pvt. Ltd2855"/>
        <s v="Singhania Motors Pvt Ltd4077"/>
        <s v="Speed Automotive Pvt. Ltd.2427"/>
        <s v="Speedworks Auto Private Limited3225"/>
        <s v="Stellar Autohaus Pvt ltd  2358"/>
        <s v="SV Autowheels LLP 2785"/>
        <s v="Tafe Access Limited 2347"/>
        <s v="United Wheels1996"/>
        <s v="Utsav India Cars LLP3902"/>
        <s v="Wheelocity Motors Pvt Ltd + Elysian Automobile Pvt. Ltd.3850"/>
        <s v="Dhone Mobility Pvt. Ltd.2398"/>
        <s v="Empreo Allied Pvt. Ltd.1419"/>
        <s v="Gurukrupa Cars Pvt. Ltd.4121"/>
        <s v="Kanal Vehicles LLP1672"/>
        <s v="(SPL) Sanwaria Automotive Pvt. Ltd1468"/>
        <s v="Ramani Automotive Excellence Pvt. Ltd.1938"/>
        <s v="Shyam Sangam Automobiles Pvt Ltd2021"/>
        <s v="N.K. Motocorp Private Limited2706"/>
        <s v="Dunac Autoworld Private Limited2003"/>
        <s v="Karr Motor Ventures Pvt. Ltd1998"/>
        <s v="KNS Vinayak Autoventures Pvt Ltd5957"/>
        <s v="Malwa Motor Sales Pvt. Ltd.1879"/>
        <s v="Buglee Automobiles Pvt. Ltd.3783"/>
        <s v="Krown Mobility Private Limited1102"/>
        <s v="Blank"/>
        <s v="Global Motocorp LLP3258" u="1"/>
        <s v="Shrine Auto Pvt. Ltd.2855" u="1"/>
        <s v="Massy Cars Pvt Ltd (Ring Road Motocorp Pvt Ltd)2496" u="1"/>
        <s v="Eminent Motocorp Pvt. Ltd.4217" u="1"/>
        <s v="Jagdish Motocorp Pvt. Ltd.2494" u="1"/>
        <s v="KNS Vinayak Autoventures Pvt Ltd" u="1"/>
        <s v="Wheelocity Motors Pvt Ltd3850" u="1"/>
        <s v="Elysian Automobile Pvt. Ltd.5786" u="1"/>
        <m u="1"/>
        <s v="Aryaveer Motors Pvt Ltd3783" u="1"/>
        <s v="Automovers Auto Industry Pvt. Ltd.2452" u="1"/>
      </sharedItems>
    </cacheField>
    <cacheField name="Investor Name" numFmtId="0">
      <sharedItems/>
    </cacheField>
    <cacheField name="KVPSCode" numFmtId="0">
      <sharedItems containsMixedTypes="1" containsNumber="1" containsInteger="1" minValue="10016" maxValue="26012" count="113">
        <n v="10346"/>
        <n v="20379"/>
        <n v="20391"/>
        <n v="20380"/>
        <n v="10296"/>
        <n v="20352"/>
        <n v="10302"/>
        <n v="10211"/>
        <n v="20401"/>
        <n v="20365"/>
        <n v="10358"/>
        <n v="10288"/>
        <n v="20330"/>
        <n v="10367"/>
        <n v="20364"/>
        <n v="10202"/>
        <n v="10161"/>
        <n v="20328"/>
        <n v="20340"/>
        <n v="20376"/>
        <n v="10361"/>
        <n v="10356"/>
        <n v="20341"/>
        <n v="20399"/>
        <n v="20322"/>
        <n v="20366"/>
        <n v="20425"/>
        <n v="10039"/>
        <n v="20061"/>
        <n v="23039"/>
        <n v="10118"/>
        <n v="20377"/>
        <n v="10082"/>
        <n v="20281"/>
        <n v="20277"/>
        <n v="10397"/>
        <n v="10016"/>
        <n v="10018"/>
        <n v="10017"/>
        <n v="20348"/>
        <n v="20354"/>
        <n v="26012"/>
        <n v="22012"/>
        <n v="23012"/>
        <n v="24012"/>
        <n v="10393"/>
        <n v="20344"/>
        <n v="20345"/>
        <n v="20357"/>
        <n v="20368"/>
        <n v="10370"/>
        <n v="10387"/>
        <n v="20378"/>
        <n v="20371"/>
        <n v="20339"/>
        <n v="20347"/>
        <n v="20381"/>
        <n v="10382"/>
        <n v="20350"/>
        <n v="10336"/>
        <n v="10349"/>
        <n v="20351"/>
        <n v="10390"/>
        <n v="20363"/>
        <n v="20359"/>
        <n v="20402"/>
        <n v="10141"/>
        <n v="20290"/>
        <n v="10032"/>
        <n v="10025"/>
        <n v="10259"/>
        <n v="10392"/>
        <n v="20335"/>
        <n v="10343"/>
        <n v="10026"/>
        <n v="10100"/>
        <n v="10373"/>
        <n v="10372"/>
        <n v="10102"/>
        <n v="10375"/>
        <n v="20369"/>
        <n v="20316"/>
        <n v="20333"/>
        <n v="20323"/>
        <n v="20353"/>
        <n v="22021"/>
        <n v="23021"/>
        <n v="10394"/>
        <n v="20396"/>
        <n v="20292"/>
        <n v="20406"/>
        <n v="20400"/>
        <n v="10405"/>
        <n v="10403"/>
        <n v="20413"/>
        <n v="20418"/>
        <n v="20411"/>
        <n v="20415"/>
        <s v="No Service"/>
        <n v="20410"/>
        <n v="10419"/>
        <n v="20395"/>
        <n v="20398"/>
        <n v="20409"/>
        <n v="20421"/>
        <n v="10424"/>
        <n v="20412"/>
        <s v="-"/>
        <n v="20294" u="1"/>
        <n v="20279" u="1"/>
        <n v="10374" u="1"/>
        <n v="10355" u="1"/>
        <n v="10291" u="1"/>
      </sharedItems>
    </cacheField>
    <cacheField name="Password" numFmtId="0">
      <sharedItems containsMixedTypes="1" containsNumber="1" containsInteger="1" minValue="1094" maxValue="5957"/>
    </cacheField>
    <cacheField name="Zone" numFmtId="0">
      <sharedItems containsBlank="1"/>
    </cacheField>
    <cacheField name="Location" numFmtId="0">
      <sharedItems containsBlank="1"/>
    </cacheField>
    <cacheField name="City" numFmtId="0">
      <sharedItems containsBlank="1"/>
    </cacheField>
    <cacheField name="RSM" numFmtId="0">
      <sharedItems containsBlank="1"/>
    </cacheField>
    <cacheField name="Service Certified Manpower" numFmtId="0">
      <sharedItems containsMixedTypes="1" containsNumber="1" containsInteger="1" minValue="0" maxValue="100"/>
    </cacheField>
    <cacheField name="Repair Quality" numFmtId="0">
      <sharedItems containsMixedTypes="1" containsNumber="1" containsInteger="1" minValue="0" maxValue="50"/>
    </cacheField>
    <cacheField name="SMP Sales" numFmtId="0">
      <sharedItems containsMixedTypes="1" containsNumber="1" containsInteger="1" minValue="0" maxValue="100"/>
    </cacheField>
    <cacheField name="Escalation Index" numFmtId="0">
      <sharedItems containsMixedTypes="1" containsNumber="1" containsInteger="1" minValue="0" maxValue="75"/>
    </cacheField>
    <cacheField name="VOC" numFmtId="0">
      <sharedItems containsMixedTypes="1" containsNumber="1" containsInteger="1" minValue="0" maxValue="75"/>
    </cacheField>
    <cacheField name="CX Service" numFmtId="0">
      <sharedItems containsMixedTypes="1" containsNumber="1" containsInteger="1" minValue="0" maxValue="100"/>
    </cacheField>
    <cacheField name="Service Score" numFmtId="1">
      <sharedItems containsSemiMixedTypes="0" containsString="0" containsNumber="1" containsInteger="1" minValue="0" maxValue="500"/>
    </cacheField>
    <cacheField name="Outlet Weightage" numFmtId="0">
      <sharedItems containsMixedTypes="1" containsNumber="1" minValue="0" maxValue="1"/>
    </cacheField>
    <cacheField name="GMB Rating" numFmtId="0">
      <sharedItems containsMixedTypes="1" containsNumber="1" minValue="0" maxValue="5"/>
    </cacheField>
    <cacheField name="KVPS &amp; OW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vin Gudihindin" refreshedDate="46151.584994907411" createdVersion="8" refreshedVersion="8" minRefreshableVersion="3" recordCount="259" xr:uid="{E0D1A770-77F7-49B1-A527-5376E4FFEE48}">
  <cacheSource type="worksheet">
    <worksheetSource ref="B2:S261" sheet="Main_Data_Sales"/>
  </cacheSource>
  <cacheFields count="18">
    <cacheField name="Investor Code" numFmtId="0">
      <sharedItems count="94">
        <s v="(Regent) Tejpal Motors Pvt. Ltd.1758"/>
        <s v="(Trinity) Durgesh Motors Pvt. Ltd. 4496"/>
        <s v="Akoya Motors Pvt Ltd4357"/>
        <s v="Ananya Sales Pvt Ltd2767"/>
        <s v="Aura Motors Pvt. Ltd + Maverick Motors 3616"/>
        <s v="Avya Automobiles Pvt. Ltd.3530"/>
        <s v="Berk Autozone LLP1221"/>
        <s v="BLC Autosales Pvt Ltd+Sidak Automobiles1337"/>
        <s v="Brite Auto Wheels Private Limited3001"/>
        <s v="Commercial Automotives Pvt Ltd1703"/>
        <s v="DDPM Automobiles LLP3606"/>
        <s v="Dev Bhoomi Motors Pvt. Ltd1161"/>
        <s v="Emporium Automobile Pvt. Ltd.3955"/>
        <s v="EVM Motors &amp; Vehicles India Pvt Ltd3346"/>
        <s v="Excel Cars Pvt. Ltd.3343"/>
        <s v="Fatehpuria Motocorp Pvt Ltd 2688"/>
        <s v="Frontier Cars India Pvt Ltd3815"/>
        <s v="Garnet Motors (D) Pvt. Ltd.3766"/>
        <s v="Garve Car Mania Pvt Ltd2294"/>
        <s v="Gem Phoenix Auto Pvt Ltd2266"/>
        <s v="(Global) Fulcrum Autoline Pvt Ltd3258"/>
        <s v="Gurudev Motors Pvt. Ltd1453"/>
        <s v="HD Autowheels Pvt. Ltd.3420"/>
        <s v="Imperial 3S Jamshedpur 2466"/>
        <s v="Jai Auto Vehicles Pvt Ltd2452"/>
        <s v="K Cube Motors LLP1757"/>
        <s v="Krishna Auto Sales 1094"/>
        <s v="Kun Motor Enterprises Pvt Ltd1515"/>
        <s v="Mahavir Auto  Diagnostics Pvt. Ltd_AP2144"/>
        <s v="Mahavir Auto  Diagnostics Pvt. Ltd_TL3338"/>
        <s v="Ring Road Motocorp Pvt Ltd2496"/>
        <s v="MM Auto Sales Pvt Ltd.2958"/>
        <s v="Mody India Cars Pvt Ltd_MH2515"/>
        <s v="Mody India Cars Pvt Ltd_TL3117"/>
        <s v="Moharir Motors Pvt. Ltd1367"/>
        <s v="Pal Prateek Automobile LLP1595"/>
        <s v="Patni Autoventures LLP2100"/>
        <s v="PPS Motors Pvt Ltd_AP1582"/>
        <s v="PPS Motors Pvt Ltd_KA1690"/>
        <s v="PPS Motors Pvt Ltd_Kerala3027"/>
        <s v="PPS Motors Pvt Ltd_TL3654"/>
        <s v="Prem Garages Pvt. Ltd2861"/>
        <s v="Presidency Cars Pvt. Ltd.2105"/>
        <s v="Raja Ganesh Motors2044"/>
        <s v="Raja Motors Corporation4183"/>
        <s v="S7 Cars India Pvt. Ltd1204"/>
        <s v="Saisha Motors Pvt Ltd1987"/>
        <s v="Sarra Motors1958"/>
        <s v="Satguru Motors1489"/>
        <s v="SGA Cars India Pvt Ltd 2154"/>
        <s v="Shanta Motors Pvt. Ltd.2185"/>
        <s v="Shekhawati Electronics Pvt Ltd 2768"/>
        <s v="Shreenathji Automobiles Pvt Ltd2774"/>
        <s v="ShriBalaji AutoAgency Mysore Pvt. Ltd2168"/>
        <s v="Unique Automobiles (Cars) Pvt. Ltd2855"/>
        <s v="Singhania Motors Pvt Ltd4077"/>
        <s v="Speed Automotive Pvt. Ltd.2427"/>
        <s v="Speedworks Auto Private Limited3225"/>
        <s v="SSB Automobiles Pvt Ltd2343"/>
        <s v="Stellar Autohaus Pvt ltd  2358"/>
        <s v="SV Autowheels LLP 2785"/>
        <s v="Tafe Access Limited 2347"/>
        <s v="United Wheels1996"/>
        <s v="Utsav India Cars LLP3902"/>
        <s v="Wheelocity Motors Pvt Ltd + Elysian Automobile Pvt. Ltd.3850"/>
        <s v="Empreo Allied Pvt. Ltd.1419"/>
        <s v="Automovers Auto Industry Pvt. Ltd.3313"/>
        <s v="RN Mobility Pvt. Ltd.1862"/>
        <s v="Kanal Vehicles LLP1672"/>
        <s v="Buglee Automobiles Pvt. Ltd.3783"/>
        <s v="Dhone Mobility Pvt. Ltd.2398"/>
        <s v="Gurukrupa Cars Pvt. Ltd.4121"/>
        <s v="Karr Motor Ventures Pvt. Ltd1998"/>
        <s v="Malwa Motor Sales Pvt. Ltd.1879"/>
        <s v="(SPL) Sanwaria Automotive Pvt. Ltd1468"/>
        <s v="Ramani Automotive Excellence Pvt. Ltd.1938"/>
        <s v="Shyam Sangam Automobiles Pvt Ltd2021"/>
        <s v="KNS Vinayak Autoventures Pvt Ltd5957"/>
        <s v="N.K. Motocorp Private Limited2706"/>
        <s v="Dunac Autoworld Private Limited2003"/>
        <s v="Krown Mobility Private Limited1102"/>
        <s v="Blank"/>
        <s v="Global Motocorp LLP3258" u="1"/>
        <s v="Mody India Cars Pvt. Ltd. 3117" u="1"/>
        <s v="Shrine Auto Pvt. Ltd.2855" u="1"/>
        <s v="Massy Cars Pvt Ltd (Ring Road Motocorp Pvt Ltd)2496" u="1"/>
        <s v="Eminent Motocorp Pvt. Ltd.4217" u="1"/>
        <s v="Jagdish Motocorp Pvt. Ltd.2494" u="1"/>
        <s v="Stellar Autohaus Pvt. Ltd.  2358" u="1"/>
        <s v="KNS Vinayak Autoventures Pvt Ltd" u="1"/>
        <s v="Wheelocity Motors Pvt Ltd3850" u="1"/>
        <s v="Elysian Automobile Pvt. Ltd.5786" u="1"/>
        <s v="Aryaveer Motors Pvt Ltd3783" u="1"/>
        <s v="Automovers Auto Industry Pvt. Ltd.2452" u="1"/>
      </sharedItems>
    </cacheField>
    <cacheField name="Investor Name" numFmtId="0">
      <sharedItems/>
    </cacheField>
    <cacheField name="KVPSCode" numFmtId="0">
      <sharedItems containsMixedTypes="1" containsNumber="1" containsInteger="1" minValue="10012" maxValue="26012" count="265">
        <n v="10391"/>
        <n v="10380"/>
        <s v="1038001A"/>
        <n v="10296"/>
        <s v="1029602A"/>
        <s v="1029601A"/>
        <s v="1030201A"/>
        <s v="1030202A"/>
        <n v="10302"/>
        <n v="10379"/>
        <n v="10211"/>
        <s v="1021101C"/>
        <n v="10365"/>
        <s v="2036501C"/>
        <n v="10358"/>
        <n v="10288"/>
        <s v="1028801C"/>
        <s v="1028802C"/>
        <n v="10100"/>
        <s v="1010001C"/>
        <s v="1010002C"/>
        <n v="10330"/>
        <s v="2033003C"/>
        <s v="2033001C"/>
        <s v="2033002C"/>
        <n v="10367"/>
        <s v="1036701C"/>
        <n v="10364"/>
        <n v="10202"/>
        <s v="1020201C"/>
        <n v="10301"/>
        <s v="1030101A"/>
        <n v="10340"/>
        <n v="10328"/>
        <n v="10376"/>
        <s v="1032801A"/>
        <s v="1034001A"/>
        <s v="1032802A"/>
        <s v="1032803A"/>
        <s v="2034003C"/>
        <n v="10361"/>
        <n v="10356"/>
        <s v="1035601A"/>
        <n v="10341"/>
        <s v="1034101A"/>
        <n v="10399"/>
        <s v="1039901A"/>
        <n v="10322"/>
        <s v="1032201A"/>
        <s v="1032202A"/>
        <s v="1032203A"/>
        <s v="2036601C"/>
        <s v="1036602A"/>
        <s v="2036603C"/>
        <n v="10366"/>
        <n v="10425"/>
        <s v="1042501A"/>
        <s v="1042503A"/>
        <s v="1042502A"/>
        <s v="2042504C"/>
        <n v="23039"/>
        <n v="10118"/>
        <n v="20061"/>
        <s v="1011801C"/>
        <s v="2303901A"/>
        <s v="2003901A"/>
        <n v="20039"/>
        <n v="10377"/>
        <n v="10082"/>
        <s v="1028101A"/>
        <s v="2027701A"/>
        <n v="10281"/>
        <n v="20277"/>
        <n v="10397"/>
        <n v="10016"/>
        <n v="10018"/>
        <n v="10017"/>
        <s v="1035401A"/>
        <s v="2035402C"/>
        <s v="1035403A"/>
        <n v="10348"/>
        <n v="10354"/>
        <n v="22012"/>
        <n v="26012"/>
        <s v="2601202C"/>
        <s v="2201203C"/>
        <s v="2601204C"/>
        <s v="1001201A"/>
        <s v="1001202A"/>
        <n v="10208"/>
        <n v="10012"/>
        <n v="10359"/>
        <n v="10363"/>
        <n v="10393"/>
        <n v="10345"/>
        <n v="10357"/>
        <s v="1035701A"/>
        <n v="10368"/>
        <s v="2036801C"/>
        <s v="2036802C"/>
        <n v="10370"/>
        <s v="1037001C"/>
        <s v="1037002C"/>
        <n v="10387"/>
        <s v="1038701A"/>
        <n v="10378"/>
        <s v="1037801A"/>
        <s v="2037802C"/>
        <n v="10371"/>
        <s v="2037101C"/>
        <s v="2037102C"/>
        <n v="10339"/>
        <n v="10347"/>
        <s v="2033901C"/>
        <s v="2033903C"/>
        <s v="2033904C"/>
        <s v="2033902C"/>
        <s v="1034701A"/>
        <s v="1033905A"/>
        <n v="10381"/>
        <n v="10382"/>
        <n v="10350"/>
        <s v="1035001A"/>
        <s v="2035003C"/>
        <s v="1035004A"/>
        <s v="1035005A"/>
        <n v="10336"/>
        <n v="10349"/>
        <s v="1034901C"/>
        <s v="1034902C"/>
        <n v="10351"/>
        <s v="1035102A"/>
        <s v="1035101A"/>
        <n v="10390"/>
        <s v="1039001C"/>
        <s v="1014103C"/>
        <s v="1014101C"/>
        <n v="20141"/>
        <s v="1014102C"/>
        <n v="10290"/>
        <s v="2029001C"/>
        <s v="1029003A"/>
        <s v="2029002C"/>
        <s v="2029004C"/>
        <n v="10032"/>
        <n v="10025"/>
        <s v="1002502C"/>
        <n v="10334"/>
        <n v="10342"/>
        <s v="1033401A"/>
        <s v="1025902C"/>
        <s v="1025903C"/>
        <s v="1025904C"/>
        <n v="10392"/>
        <n v="10352"/>
        <n v="10335"/>
        <s v="2033503C"/>
        <s v="2033502C"/>
        <s v="2033504C"/>
        <s v="2033505C"/>
        <n v="10343"/>
        <s v="1034301A"/>
        <n v="12026"/>
        <s v="1002602C"/>
        <s v="1002601A"/>
        <n v="10373"/>
        <n v="10372"/>
        <s v="1037201A"/>
        <n v="10102"/>
        <n v="10375"/>
        <n v="10369"/>
        <s v="1036901A"/>
        <s v="1034601C"/>
        <s v="1034602C"/>
        <s v="1034603A"/>
        <s v="1034604C"/>
        <n v="10346"/>
        <n v="10316"/>
        <n v="10333"/>
        <n v="10323"/>
        <s v="2031601C"/>
        <s v="1031602A"/>
        <s v="2031603C"/>
        <s v="2033301C"/>
        <s v="2032301C"/>
        <s v="2032302C"/>
        <s v="1033301A"/>
        <n v="10353"/>
        <s v="1035301A"/>
        <s v="2035303C"/>
        <s v="2035302C"/>
        <s v="2035304C"/>
        <n v="10192"/>
        <n v="10021"/>
        <n v="21021"/>
        <s v="1019202A"/>
        <s v="2302101C"/>
        <s v="2102102A"/>
        <n v="10394"/>
        <n v="10396"/>
        <n v="10292"/>
        <n v="10400"/>
        <s v="1039401C"/>
        <n v="10398"/>
        <s v="1029006A"/>
        <n v="10401"/>
        <n v="10402"/>
        <s v="1039002C"/>
        <s v="2032804C"/>
        <s v="2037602C"/>
        <n v="10403"/>
        <s v="1040201A"/>
        <s v="1029007A"/>
        <n v="10409"/>
        <n v="10406"/>
        <n v="10407"/>
        <s v="1040601A"/>
        <n v="10414"/>
        <s v="1039902A"/>
        <n v="10405"/>
        <s v="1040501C"/>
        <n v="10410"/>
        <n v="10408"/>
        <n v="10395"/>
        <s v="1002504C"/>
        <s v="1039201C"/>
        <n v="10412"/>
        <s v="2037603C"/>
        <s v="2041801C"/>
        <n v="10416"/>
        <s v="1041101C"/>
        <n v="10411"/>
        <n v="10415"/>
        <s v="1041501A"/>
        <s v="1039801A"/>
        <s v="1010003A"/>
        <s v="2031604C"/>
        <n v="10417"/>
        <n v="10420"/>
        <s v="1033601A"/>
        <s v="1041001A"/>
        <s v="1034301C"/>
        <n v="10419"/>
        <s v="1041902C"/>
        <s v="1034605C"/>
        <n v="10422"/>
        <s v="1001801C"/>
        <s v="1001701A"/>
        <s v="1039301C"/>
        <s v="1041903C"/>
        <s v="1040502C"/>
        <n v="10423"/>
        <s v="1040701C"/>
        <s v="1029603C"/>
        <n v="10424"/>
        <s v="1042402A"/>
        <s v="2036803A"/>
        <s v="1037803A"/>
        <s v="-"/>
        <n v="10294" u="1"/>
        <n v="10374" u="1"/>
        <n v="10355" u="1"/>
        <n v="10291" u="1"/>
        <n v="10295" u="1"/>
        <n v="10279" u="1"/>
      </sharedItems>
    </cacheField>
    <cacheField name="Password" numFmtId="0">
      <sharedItems containsMixedTypes="1" containsNumber="1" containsInteger="1" minValue="1094" maxValue="5957"/>
    </cacheField>
    <cacheField name="Zone" numFmtId="0">
      <sharedItems/>
    </cacheField>
    <cacheField name="Location" numFmtId="0">
      <sharedItems containsBlank="1"/>
    </cacheField>
    <cacheField name="City" numFmtId="0">
      <sharedItems containsBlank="1"/>
    </cacheField>
    <cacheField name="RSM" numFmtId="0">
      <sharedItems containsBlank="1"/>
    </cacheField>
    <cacheField name="Sales Certified Manpower" numFmtId="0">
      <sharedItems containsMixedTypes="1" containsNumber="1" containsInteger="1" minValue="0" maxValue="100"/>
    </cacheField>
    <cacheField name="Central Web-In Lead to Retail" numFmtId="0">
      <sharedItems containsMixedTypes="1" containsNumber="1" containsInteger="1" minValue="0" maxValue="100"/>
    </cacheField>
    <cacheField name="Mystery Shopping" numFmtId="1">
      <sharedItems containsMixedTypes="1" containsNumber="1" containsInteger="1" minValue="0" maxValue="50"/>
    </cacheField>
    <cacheField name="Esclation Index" numFmtId="0">
      <sharedItems containsMixedTypes="1" containsNumber="1" containsInteger="1" minValue="0" maxValue="50"/>
    </cacheField>
    <cacheField name="CX Sales Score" numFmtId="0">
      <sharedItems containsMixedTypes="1" containsNumber="1" containsInteger="1" minValue="0" maxValue="100"/>
    </cacheField>
    <cacheField name="PSI Sales" numFmtId="0">
      <sharedItems containsMixedTypes="1" containsNumber="1" containsInteger="1" minValue="0" maxValue="100"/>
    </cacheField>
    <cacheField name="Sales Score" numFmtId="1">
      <sharedItems containsSemiMixedTypes="0" containsString="0" containsNumber="1" containsInteger="1" minValue="0" maxValue="500"/>
    </cacheField>
    <cacheField name="Oulet Weightage" numFmtId="9">
      <sharedItems containsMixedTypes="1" containsNumber="1" minValue="0" maxValue="1"/>
    </cacheField>
    <cacheField name="GMB Rating" numFmtId="0">
      <sharedItems containsMixedTypes="1" containsNumber="1" minValue="0" maxValue="5"/>
    </cacheField>
    <cacheField name="KVPS &amp; OW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x v="0"/>
    <s v="SSB Automobiles Pvt Ltd"/>
    <x v="0"/>
    <n v="2343"/>
    <s v="India I"/>
    <s v="Khanapara"/>
    <s v="Guwahati"/>
    <s v="Nishant Sinha"/>
    <n v="80"/>
    <n v="50"/>
    <n v="80"/>
    <n v="75"/>
    <n v="60"/>
    <n v="80"/>
    <n v="425"/>
    <n v="1"/>
    <n v="4.7"/>
    <s v="10346 (100%)"/>
  </r>
  <r>
    <x v="1"/>
    <s v="Ananya Sales Pvt Ltd"/>
    <x v="1"/>
    <n v="2767"/>
    <s v="India I"/>
    <s v="Birla Nagar"/>
    <s v="Gwalior"/>
    <s v="Nishant Sinha"/>
    <n v="0"/>
    <n v="40"/>
    <n v="100"/>
    <n v="0"/>
    <n v="0"/>
    <n v="80"/>
    <n v="0"/>
    <n v="1"/>
    <n v="4.4000000000000004"/>
    <s v="20379 (100%)"/>
  </r>
  <r>
    <x v="2"/>
    <s v="(Regent) Tejpal Motors Pvt. Ltd."/>
    <x v="2"/>
    <n v="1758"/>
    <s v="India I"/>
    <s v="Kandivali"/>
    <s v="Mumbai"/>
    <s v="Nishant Sinha"/>
    <n v="100"/>
    <n v="40"/>
    <n v="80"/>
    <n v="60"/>
    <n v="75"/>
    <n v="80"/>
    <n v="435"/>
    <n v="0.464889466840052"/>
    <n v="4.8"/>
    <s v="20391 (46%)"/>
  </r>
  <r>
    <x v="2"/>
    <s v="(Regent) Tejpal Motors Pvt. Ltd."/>
    <x v="3"/>
    <n v="1758"/>
    <s v="India II"/>
    <s v="Waghle Estate"/>
    <s v="Thane"/>
    <s v="Pradeep K"/>
    <n v="100"/>
    <n v="40"/>
    <n v="80"/>
    <n v="75"/>
    <n v="0"/>
    <n v="80"/>
    <n v="375"/>
    <n v="0.53511053315994794"/>
    <n v="4.7"/>
    <s v="20380 (54%)"/>
  </r>
  <r>
    <x v="3"/>
    <s v="(Trinity) Durgesh Motors Pvt. Ltd. "/>
    <x v="4"/>
    <n v="4496"/>
    <s v="India II"/>
    <s v="Bhubaneshwar"/>
    <s v="Cuttack"/>
    <s v="Pradeep K"/>
    <n v="0"/>
    <n v="50"/>
    <n v="80"/>
    <n v="60"/>
    <n v="75"/>
    <n v="100"/>
    <n v="365"/>
    <n v="1"/>
    <n v="4.7"/>
    <s v="10296 (100%)"/>
  </r>
  <r>
    <x v="4"/>
    <s v="Shekhawati Electronics Pvt Ltd "/>
    <x v="5"/>
    <n v="2768"/>
    <s v="India II"/>
    <s v="Sahibabad"/>
    <s v="Ghaziabad"/>
    <s v="Pradeep K"/>
    <n v="80"/>
    <n v="40"/>
    <n v="0"/>
    <n v="0"/>
    <n v="60"/>
    <n v="80"/>
    <n v="260"/>
    <n v="1"/>
    <n v="4.7"/>
    <s v="20352 (100%)"/>
  </r>
  <r>
    <x v="5"/>
    <s v="Akoya Motors Pvt Ltd"/>
    <x v="6"/>
    <n v="4357"/>
    <s v="India I"/>
    <s v="Baner"/>
    <s v="Pune"/>
    <s v="Nishant Sinha"/>
    <n v="100"/>
    <n v="40"/>
    <n v="100"/>
    <n v="60"/>
    <n v="0"/>
    <n v="80"/>
    <n v="0"/>
    <n v="1"/>
    <n v="4.5999999999999996"/>
    <s v="10302 (100%)"/>
  </r>
  <r>
    <x v="6"/>
    <s v="Aura Motors Pvt. Ltd + Maverick Motors "/>
    <x v="7"/>
    <n v="3616"/>
    <s v="India I"/>
    <s v="Tirunelveli"/>
    <s v="Tirunelveli"/>
    <s v="Nishant Sinha"/>
    <n v="0"/>
    <n v="0"/>
    <n v="0"/>
    <n v="0"/>
    <n v="0"/>
    <n v="0"/>
    <n v="0"/>
    <n v="0"/>
    <n v="0"/>
    <s v="10211 (0%)"/>
  </r>
  <r>
    <x v="7"/>
    <s v="Automovers Auto Industry Pvt. Ltd."/>
    <x v="8"/>
    <n v="3313"/>
    <s v="India I"/>
    <s v="Faizabad Road"/>
    <s v="Lucknow"/>
    <s v="Pratap C."/>
    <n v="80"/>
    <n v="0"/>
    <n v="0"/>
    <n v="0"/>
    <n v="0"/>
    <n v="0"/>
    <n v="80"/>
    <n v="1"/>
    <n v="4.8"/>
    <s v="20401 (100%)"/>
  </r>
  <r>
    <x v="8"/>
    <s v="Avya Automobiles Pvt. Ltd."/>
    <x v="9"/>
    <n v="3530"/>
    <s v="India I"/>
    <s v="Begum Bazar"/>
    <s v="Prayagraj"/>
    <s v="Harsh Rajan"/>
    <n v="80"/>
    <n v="40"/>
    <n v="0"/>
    <n v="0"/>
    <n v="60"/>
    <n v="80"/>
    <n v="260"/>
    <n v="1"/>
    <n v="4.8"/>
    <s v="20365 (100%)"/>
  </r>
  <r>
    <x v="9"/>
    <s v="Berk Autozone LLP"/>
    <x v="10"/>
    <n v="1221"/>
    <s v="India I"/>
    <s v="Industrial Area, Phase 1"/>
    <s v="Panchkula"/>
    <s v="Harsh Rajan"/>
    <n v="0"/>
    <n v="40"/>
    <n v="0"/>
    <n v="0"/>
    <n v="0"/>
    <n v="80"/>
    <n v="0"/>
    <n v="0.54780876494023911"/>
    <n v="4.7"/>
    <s v="10358 (55%)"/>
  </r>
  <r>
    <x v="10"/>
    <s v="BLC Autosales Pvt Ltd+Sidak Automobiles"/>
    <x v="11"/>
    <n v="1337"/>
    <s v="India II"/>
    <s v="Hisar"/>
    <s v="Hissar"/>
    <s v="Jobin Mathew"/>
    <n v="80"/>
    <n v="0"/>
    <n v="80"/>
    <n v="0"/>
    <n v="60"/>
    <n v="0"/>
    <n v="0"/>
    <n v="0.27868852459016397"/>
    <n v="4.7"/>
    <s v="10288 (28%)"/>
  </r>
  <r>
    <x v="11"/>
    <s v="Brite Auto Wheels Private Limited"/>
    <x v="12"/>
    <n v="3001"/>
    <s v="India II"/>
    <s v="Sector 6"/>
    <s v="Noida"/>
    <s v="Jobin Mathew"/>
    <n v="0"/>
    <n v="0"/>
    <n v="0"/>
    <n v="0"/>
    <n v="0"/>
    <n v="0"/>
    <n v="0"/>
    <n v="1"/>
    <n v="4.5999999999999996"/>
    <s v="20330 (100%)"/>
  </r>
  <r>
    <x v="12"/>
    <s v="Commercial Automotives Pvt Ltd"/>
    <x v="13"/>
    <n v="1703"/>
    <s v="India II"/>
    <s v="Rampur Road"/>
    <s v="Bareilly"/>
    <s v="Jobin Mathew"/>
    <n v="0"/>
    <n v="40"/>
    <n v="80"/>
    <n v="0"/>
    <n v="60"/>
    <n v="80"/>
    <n v="260"/>
    <n v="1"/>
    <n v="4.7"/>
    <s v="10367 (100%)"/>
  </r>
  <r>
    <x v="13"/>
    <s v="DDPM Automobiles LLP"/>
    <x v="14"/>
    <n v="3606"/>
    <s v="India II"/>
    <s v="Dudhli Road"/>
    <s v="Dehradun"/>
    <s v="Jobin Mathew"/>
    <n v="0"/>
    <n v="0"/>
    <n v="0"/>
    <n v="0"/>
    <n v="0"/>
    <n v="0"/>
    <n v="0"/>
    <n v="1"/>
    <n v="4.4000000000000004"/>
    <s v="20364 (100%)"/>
  </r>
  <r>
    <x v="14"/>
    <s v="Dev Bhoomi Motors Pvt. Ltd"/>
    <x v="15"/>
    <n v="1161"/>
    <s v="India II"/>
    <s v="Guttkar"/>
    <s v="Mandi"/>
    <s v="Chirag Khanna"/>
    <n v="80"/>
    <n v="50"/>
    <n v="0"/>
    <n v="0"/>
    <n v="75"/>
    <n v="100"/>
    <n v="305"/>
    <n v="1"/>
    <n v="4.8"/>
    <s v="10202 (100%)"/>
  </r>
  <r>
    <x v="15"/>
    <s v="Emporium Automobile Pvt. Ltd."/>
    <x v="16"/>
    <n v="3955"/>
    <s v="India I"/>
    <s v="Verna"/>
    <s v="Goa"/>
    <s v="Harsh Rajan"/>
    <n v="80"/>
    <n v="40"/>
    <n v="80"/>
    <n v="60"/>
    <n v="60"/>
    <n v="80"/>
    <n v="400"/>
    <n v="1"/>
    <n v="4.7"/>
    <s v="10161 (100%)"/>
  </r>
  <r>
    <x v="16"/>
    <s v="EVM Motors &amp; Vehicles India Pvt Ltd"/>
    <x v="17"/>
    <n v="3346"/>
    <s v="India I"/>
    <s v="Ernakulam"/>
    <s v="Kochi"/>
    <s v="Harsh Rajan"/>
    <n v="80"/>
    <n v="40"/>
    <n v="0"/>
    <n v="75"/>
    <n v="75"/>
    <n v="80"/>
    <n v="0"/>
    <n v="0.47058823529411764"/>
    <n v="4.7"/>
    <s v="20328 (47%)"/>
  </r>
  <r>
    <x v="16"/>
    <s v="EVM Motors &amp; Vehicles India Pvt Ltd"/>
    <x v="18"/>
    <n v="3346"/>
    <s v="India I"/>
    <s v="Meenchantha"/>
    <s v="Calicut"/>
    <s v="Harsh Rajan"/>
    <n v="80"/>
    <n v="40"/>
    <n v="0"/>
    <n v="60"/>
    <n v="60"/>
    <n v="80"/>
    <n v="0"/>
    <n v="0.3348930481283422"/>
    <n v="4.7"/>
    <s v="20340 (33%)"/>
  </r>
  <r>
    <x v="16"/>
    <s v="EVM Motors &amp; Vehicles India Pvt Ltd"/>
    <x v="19"/>
    <n v="3346"/>
    <s v="India I"/>
    <s v="Ettumanoor"/>
    <s v="Kottayam"/>
    <s v="Harsh Rajan"/>
    <n v="0"/>
    <n v="40"/>
    <n v="0"/>
    <n v="0"/>
    <n v="0"/>
    <n v="80"/>
    <n v="0"/>
    <n v="0.19451871657754011"/>
    <n v="4.7"/>
    <s v="20376 (19%)"/>
  </r>
  <r>
    <x v="17"/>
    <s v="Excel Cars Pvt. Ltd."/>
    <x v="20"/>
    <n v="3343"/>
    <s v="India I"/>
    <s v="Industrial Area, Phase 1"/>
    <s v="Faridabad"/>
    <s v="Harsh Rajan"/>
    <n v="80"/>
    <n v="50"/>
    <n v="80"/>
    <n v="75"/>
    <n v="0"/>
    <n v="100"/>
    <n v="385"/>
    <n v="1"/>
    <n v="4.8"/>
    <s v="10361 (100%)"/>
  </r>
  <r>
    <x v="18"/>
    <s v="Fatehpuria Motocorp Pvt Ltd "/>
    <x v="21"/>
    <n v="2688"/>
    <s v="India I"/>
    <s v="IPIA"/>
    <s v="Kota"/>
    <s v="Harsh Rajan"/>
    <n v="0"/>
    <n v="40"/>
    <n v="0"/>
    <n v="0"/>
    <n v="60"/>
    <n v="80"/>
    <n v="180"/>
    <n v="1"/>
    <n v="4.7"/>
    <s v="10356 (100%)"/>
  </r>
  <r>
    <x v="19"/>
    <s v="Frontier Cars India Pvt Ltd"/>
    <x v="22"/>
    <n v="3815"/>
    <s v="India I"/>
    <s v="Jabalpur"/>
    <s v="Jabalpur"/>
    <s v="Harsh Rajan"/>
    <n v="80"/>
    <n v="50"/>
    <n v="0"/>
    <n v="0"/>
    <n v="0"/>
    <n v="80"/>
    <n v="0"/>
    <n v="1"/>
    <n v="4.8"/>
    <s v="20341 (100%)"/>
  </r>
  <r>
    <x v="20"/>
    <s v="Garnet Motors (D) Pvt. Ltd."/>
    <x v="23"/>
    <n v="3766"/>
    <s v="India I"/>
    <s v="Pawne"/>
    <s v="Mumbai"/>
    <s v="Dinesh Bhatia"/>
    <n v="80"/>
    <n v="40"/>
    <n v="0"/>
    <n v="75"/>
    <n v="0"/>
    <n v="0"/>
    <n v="0"/>
    <n v="1"/>
    <n v="4.5999999999999996"/>
    <s v="20399 (100%)"/>
  </r>
  <r>
    <x v="21"/>
    <s v="Garve Car Mania Pvt Ltd"/>
    <x v="24"/>
    <n v="2294"/>
    <s v="India I"/>
    <s v="MIDC Bhosari"/>
    <s v="Pune"/>
    <s v="Dinesh Bhatia"/>
    <n v="100"/>
    <n v="50"/>
    <n v="100"/>
    <n v="75"/>
    <n v="60"/>
    <n v="80"/>
    <n v="465"/>
    <n v="1"/>
    <n v="4.7"/>
    <s v="20322 (100%)"/>
  </r>
  <r>
    <x v="22"/>
    <s v="Gem Phoenix Auto Pvt Ltd"/>
    <x v="25"/>
    <n v="2266"/>
    <s v="India I"/>
    <s v="Nadathara"/>
    <s v="Thrissur"/>
    <s v="Dinesh Bhatia"/>
    <n v="80"/>
    <n v="40"/>
    <n v="0"/>
    <n v="75"/>
    <n v="0"/>
    <n v="0"/>
    <n v="195"/>
    <n v="1"/>
    <n v="4.7"/>
    <s v="20366 (100%)"/>
  </r>
  <r>
    <x v="23"/>
    <s v="(Global) Fulcrum Autoline Pvt Ltd"/>
    <x v="26"/>
    <n v="3258"/>
    <s v="India I"/>
    <s v="Anandapur"/>
    <s v="Kolkata"/>
    <s v="Dinesh Bhatia"/>
    <n v="80"/>
    <n v="0"/>
    <n v="100"/>
    <n v="0"/>
    <n v="0"/>
    <n v="0"/>
    <n v="0"/>
    <n v="1"/>
    <n v="4.5999999999999996"/>
    <s v="20425 (100%)"/>
  </r>
  <r>
    <x v="24"/>
    <s v="Gurudev Motors Pvt. Ltd"/>
    <x v="27"/>
    <n v="1453"/>
    <s v="India II"/>
    <s v="Guindy"/>
    <s v="Chennai"/>
    <s v="Chirag Khanna"/>
    <n v="100"/>
    <n v="40"/>
    <n v="80"/>
    <n v="60"/>
    <n v="0"/>
    <n v="0"/>
    <n v="0"/>
    <n v="0.32648870636550315"/>
    <n v="4.5999999999999996"/>
    <s v="10039 (33%)"/>
  </r>
  <r>
    <x v="24"/>
    <s v="Gurudev Motors Pvt. Ltd"/>
    <x v="28"/>
    <n v="1453"/>
    <s v="India II"/>
    <s v="Perumugai"/>
    <s v="Vellore"/>
    <s v="Chirag Khanna"/>
    <n v="80"/>
    <n v="50"/>
    <n v="80"/>
    <n v="60"/>
    <n v="75"/>
    <n v="100"/>
    <n v="445"/>
    <n v="9.8049281314168388E-2"/>
    <n v="4.7"/>
    <s v="20061 (10%)"/>
  </r>
  <r>
    <x v="24"/>
    <s v="Gurudev Motors Pvt. Ltd"/>
    <x v="29"/>
    <n v="1453"/>
    <s v="India I"/>
    <s v="Ambattur"/>
    <s v="Chennai"/>
    <s v="Dinesh Bhatia"/>
    <n v="100"/>
    <n v="40"/>
    <n v="80"/>
    <n v="75"/>
    <n v="75"/>
    <n v="80"/>
    <n v="0"/>
    <n v="0.4229979466119097"/>
    <n v="4.5999999999999996"/>
    <s v="23039 (42%)"/>
  </r>
  <r>
    <x v="24"/>
    <s v="Gurudev Motors Pvt. Ltd"/>
    <x v="30"/>
    <n v="1453"/>
    <s v="India I"/>
    <s v="Ganapathy Nagar"/>
    <s v="Trichy"/>
    <s v="Dinesh Bhatia"/>
    <n v="100"/>
    <n v="50"/>
    <n v="80"/>
    <n v="75"/>
    <n v="75"/>
    <n v="100"/>
    <n v="0"/>
    <n v="0.15246406570841892"/>
    <n v="4.5999999999999996"/>
    <s v="10118 (15%)"/>
  </r>
  <r>
    <x v="25"/>
    <s v="HD Autowheels Pvt. Ltd."/>
    <x v="31"/>
    <n v="3420"/>
    <s v="India I"/>
    <s v="Rakshikagarh"/>
    <s v="Amritsar"/>
    <s v="Dinesh Bhatia"/>
    <n v="80"/>
    <n v="40"/>
    <n v="0"/>
    <n v="75"/>
    <n v="60"/>
    <n v="0"/>
    <n v="255"/>
    <n v="1"/>
    <n v="4.7"/>
    <s v="20377 (100%)"/>
  </r>
  <r>
    <x v="26"/>
    <s v="Imperial 3S Jamshedpur "/>
    <x v="32"/>
    <n v="2466"/>
    <s v="India I"/>
    <s v="Adityapur"/>
    <s v="Jamshedpur"/>
    <s v="Nishant Sinha"/>
    <n v="0"/>
    <n v="50"/>
    <n v="0"/>
    <n v="0"/>
    <n v="75"/>
    <n v="80"/>
    <n v="0"/>
    <n v="1"/>
    <n v="4.0999999999999996"/>
    <s v="10082 (100%)"/>
  </r>
  <r>
    <x v="27"/>
    <s v="Jai Auto Vehicles Pvt Ltd"/>
    <x v="33"/>
    <n v="2452"/>
    <s v="India I"/>
    <m/>
    <s v="New Delhi"/>
    <s v="Nishant Sinha"/>
    <n v="100"/>
    <n v="50"/>
    <n v="80"/>
    <n v="75"/>
    <n v="0"/>
    <n v="80"/>
    <n v="0"/>
    <n v="0.43491644678979768"/>
    <n v="4.7"/>
    <s v="20281 (43%)"/>
  </r>
  <r>
    <x v="27"/>
    <s v="Jai Auto Vehicles Pvt Ltd"/>
    <x v="34"/>
    <n v="2452"/>
    <s v="India II"/>
    <s v="Taleigao"/>
    <s v="Gurugram"/>
    <s v="Paresh Hegde"/>
    <n v="100"/>
    <n v="40"/>
    <n v="80"/>
    <n v="75"/>
    <n v="0"/>
    <n v="80"/>
    <n v="0"/>
    <n v="0.56508355321020221"/>
    <n v="4.7"/>
    <s v="20277 (57%)"/>
  </r>
  <r>
    <x v="28"/>
    <s v="K Cube Motors LLP"/>
    <x v="35"/>
    <n v="1757"/>
    <s v="India II"/>
    <s v="Agalli"/>
    <s v="Itanagar"/>
    <s v="Paresh Hegde"/>
    <n v="0"/>
    <n v="0"/>
    <n v="0"/>
    <n v="0"/>
    <n v="75"/>
    <n v="0"/>
    <n v="0"/>
    <n v="1"/>
    <n v="4.7"/>
    <s v="10397 (100%)"/>
  </r>
  <r>
    <x v="29"/>
    <s v="Krishna Auto Sales "/>
    <x v="36"/>
    <n v="1094"/>
    <s v="India II"/>
    <s v="Calicut"/>
    <s v="Chandigarh"/>
    <s v="Ankit Gupta"/>
    <n v="80"/>
    <n v="40"/>
    <n v="80"/>
    <n v="75"/>
    <n v="60"/>
    <n v="80"/>
    <n v="415"/>
    <n v="0.53288364249578413"/>
    <n v="4.7"/>
    <s v="10016 (53%)"/>
  </r>
  <r>
    <x v="29"/>
    <s v="Krishna Auto Sales "/>
    <x v="37"/>
    <n v="1094"/>
    <s v="India II"/>
    <s v="Ernakulam"/>
    <s v="Jalandhar"/>
    <s v="Ankit Gupta"/>
    <n v="80"/>
    <n v="50"/>
    <n v="80"/>
    <n v="75"/>
    <n v="75"/>
    <n v="100"/>
    <n v="460"/>
    <n v="0.22259696458684652"/>
    <n v="4.8"/>
    <s v="10018 (22%)"/>
  </r>
  <r>
    <x v="29"/>
    <s v="Krishna Auto Sales "/>
    <x v="38"/>
    <n v="1094"/>
    <s v="India II"/>
    <s v="Ettumanoor"/>
    <s v="Ludhiana"/>
    <s v="Ankit Gupta"/>
    <n v="0"/>
    <n v="50"/>
    <n v="80"/>
    <n v="75"/>
    <n v="75"/>
    <n v="100"/>
    <n v="380"/>
    <n v="0.24451939291736927"/>
    <n v="4.8"/>
    <s v="10017 (24%)"/>
  </r>
  <r>
    <x v="30"/>
    <s v="Kun Motor Enterprises Pvt Ltd"/>
    <x v="39"/>
    <n v="1515"/>
    <s v="India II"/>
    <s v="Velloorkunnam"/>
    <s v="Pondicherry"/>
    <s v="Ankit Gupta"/>
    <n v="100"/>
    <n v="50"/>
    <n v="0"/>
    <n v="75"/>
    <n v="75"/>
    <n v="80"/>
    <n v="380"/>
    <n v="0.22511312217194571"/>
    <n v="4.7"/>
    <s v="20348 (23%)"/>
  </r>
  <r>
    <x v="30"/>
    <s v="Kun Motor Enterprises Pvt Ltd"/>
    <x v="40"/>
    <n v="1515"/>
    <s v="India II"/>
    <s v="Thottada"/>
    <s v="Chennai"/>
    <s v="Ankit Gupta"/>
    <n v="80"/>
    <n v="40"/>
    <n v="0"/>
    <n v="60"/>
    <n v="60"/>
    <n v="80"/>
    <n v="320"/>
    <n v="0.77488687782805432"/>
    <n v="4.7"/>
    <s v="20354 (77%)"/>
  </r>
  <r>
    <x v="31"/>
    <s v="Mahavir Auto  Diagnostics Pvt. Ltd_AP"/>
    <x v="41"/>
    <n v="2144"/>
    <s v="India II"/>
    <s v="Aarattuvazhi"/>
    <s v="Vijayawada"/>
    <s v="Ankit Gupta"/>
    <n v="100"/>
    <n v="50"/>
    <n v="100"/>
    <n v="60"/>
    <n v="60"/>
    <n v="80"/>
    <n v="450"/>
    <n v="0.72196620583717364"/>
    <n v="4.7"/>
    <s v="26012 (72%)"/>
  </r>
  <r>
    <x v="31"/>
    <s v="Mahavir Auto  Diagnostics Pvt. Ltd_AP"/>
    <x v="42"/>
    <n v="2144"/>
    <s v="India II"/>
    <s v="St.PetersJunction"/>
    <s v="Vishakhapatnam"/>
    <s v="Ankit Gupta"/>
    <n v="100"/>
    <n v="40"/>
    <n v="100"/>
    <n v="0"/>
    <n v="0"/>
    <n v="80"/>
    <n v="320"/>
    <n v="0.27803379416282642"/>
    <n v="4.7"/>
    <s v="22012 (28%)"/>
  </r>
  <r>
    <x v="32"/>
    <s v="Mahavir Auto  Diagnostics Pvt. Ltd_TL"/>
    <x v="43"/>
    <n v="3338"/>
    <s v="India II"/>
    <s v="Palarivattom"/>
    <s v="Hyderabad"/>
    <s v="Ankit Gupta"/>
    <n v="100"/>
    <n v="40"/>
    <n v="100"/>
    <n v="75"/>
    <n v="0"/>
    <n v="0"/>
    <n v="0"/>
    <n v="0.56861499364675983"/>
    <n v="4.5"/>
    <s v="23012 (57%)"/>
  </r>
  <r>
    <x v="32"/>
    <s v="Mahavir Auto  Diagnostics Pvt. Ltd_TL"/>
    <x v="44"/>
    <n v="3338"/>
    <s v="India II"/>
    <s v="IndiraNagar"/>
    <s v="Secunderabad"/>
    <s v="Ankit Gupta"/>
    <n v="80"/>
    <n v="40"/>
    <n v="100"/>
    <n v="75"/>
    <n v="60"/>
    <n v="80"/>
    <n v="0"/>
    <n v="0.43138500635324017"/>
    <n v="4.4000000000000004"/>
    <s v="24012 (43%)"/>
  </r>
  <r>
    <x v="33"/>
    <s v="MM Auto Sales Pvt Ltd."/>
    <x v="45"/>
    <n v="2958"/>
    <s v="India I"/>
    <s v="IPIA"/>
    <s v="Gorakhpur"/>
    <s v="Pratap C."/>
    <n v="100"/>
    <n v="50"/>
    <n v="0"/>
    <n v="0"/>
    <n v="75"/>
    <n v="100"/>
    <n v="0"/>
    <n v="1"/>
    <n v="4.8"/>
    <s v="10393 (100%)"/>
  </r>
  <r>
    <x v="34"/>
    <s v="Mody India Cars Pvt Ltd_MH"/>
    <x v="46"/>
    <n v="2515"/>
    <s v="India I"/>
    <s v="GauravPath"/>
    <s v="Mumbai"/>
    <s v="Pratap C."/>
    <n v="80"/>
    <n v="50"/>
    <n v="80"/>
    <n v="75"/>
    <n v="75"/>
    <n v="100"/>
    <n v="460"/>
    <n v="0.35433070866141736"/>
    <n v="4.9000000000000004"/>
    <s v="20344 (35%)"/>
  </r>
  <r>
    <x v="34"/>
    <s v="Mody India Cars Pvt Ltd_MH"/>
    <x v="47"/>
    <n v="2515"/>
    <s v="India I"/>
    <s v="Devtal"/>
    <s v="Mumbai"/>
    <s v="Sarat Chakraborty"/>
    <n v="100"/>
    <n v="40"/>
    <n v="80"/>
    <n v="75"/>
    <n v="0"/>
    <n v="80"/>
    <n v="375"/>
    <n v="0.46780917091245944"/>
    <n v="4.8"/>
    <s v="20345 (47%)"/>
  </r>
  <r>
    <x v="34"/>
    <s v="Mody India Cars Pvt Ltd_MH"/>
    <x v="48"/>
    <n v="2515"/>
    <s v="India I"/>
    <s v="MaiharBypassRd."/>
    <s v="Mumbai"/>
    <s v="Sarat Chakraborty"/>
    <n v="80"/>
    <n v="50"/>
    <n v="80"/>
    <n v="75"/>
    <n v="60"/>
    <n v="100"/>
    <n v="445"/>
    <n v="0.1778601204261232"/>
    <n v="4.9000000000000004"/>
    <s v="20357 (18%)"/>
  </r>
  <r>
    <x v="35"/>
    <s v="Mody India Cars Pvt Ltd_TL"/>
    <x v="49"/>
    <n v="3117"/>
    <s v="India I"/>
    <s v="Nerul"/>
    <s v="Hyderabad"/>
    <s v="Sarat Chakraborty"/>
    <n v="80"/>
    <n v="0"/>
    <n v="0"/>
    <n v="75"/>
    <n v="0"/>
    <n v="80"/>
    <n v="235"/>
    <n v="1"/>
    <n v="4.8"/>
    <s v="20368 (100%)"/>
  </r>
  <r>
    <x v="36"/>
    <s v="Moharir Motors Pvt. Ltd"/>
    <x v="50"/>
    <n v="1367"/>
    <s v="India I"/>
    <s v="Panvel"/>
    <s v="Nasik"/>
    <s v="Sarat Chakraborty"/>
    <n v="0"/>
    <n v="0"/>
    <n v="0"/>
    <n v="0"/>
    <n v="0"/>
    <n v="0"/>
    <n v="0"/>
    <n v="0"/>
    <n v="0"/>
    <s v="10370 (0%)"/>
  </r>
  <r>
    <x v="37"/>
    <s v="Pal Prateek Automobile LLP"/>
    <x v="51"/>
    <n v="1595"/>
    <s v="India I"/>
    <s v="BhandarkarRoad"/>
    <s v="Haldwani"/>
    <s v="Sarat Chakraborty"/>
    <n v="100"/>
    <n v="50"/>
    <n v="100"/>
    <n v="75"/>
    <n v="75"/>
    <n v="100"/>
    <n v="500"/>
    <n v="1"/>
    <n v="5"/>
    <s v="10387 (100%)"/>
  </r>
  <r>
    <x v="38"/>
    <s v="Patni Autoventures LLP"/>
    <x v="52"/>
    <n v="2100"/>
    <s v="India I"/>
    <s v="PimpleGurav"/>
    <s v="Nagpur"/>
    <s v="Sarat Chakraborty"/>
    <n v="80"/>
    <n v="40"/>
    <n v="0"/>
    <n v="0"/>
    <n v="75"/>
    <n v="80"/>
    <n v="275"/>
    <n v="1"/>
    <n v="4.9000000000000004"/>
    <s v="20378 (100%)"/>
  </r>
  <r>
    <x v="39"/>
    <s v="PPS Motors Pvt Ltd_AP"/>
    <x v="53"/>
    <n v="1582"/>
    <s v="India I"/>
    <s v="Canatik"/>
    <s v="Tirupati"/>
    <s v="Sarat Chakraborty"/>
    <n v="100"/>
    <n v="50"/>
    <n v="0"/>
    <n v="0"/>
    <n v="0"/>
    <n v="80"/>
    <n v="230"/>
    <n v="1"/>
    <n v="4.7"/>
    <s v="20371 (100%)"/>
  </r>
  <r>
    <x v="40"/>
    <s v="PPS Motors Pvt Ltd_KA"/>
    <x v="54"/>
    <n v="1690"/>
    <s v="India I"/>
    <s v="Tathawade"/>
    <s v="Bengaluru"/>
    <s v="Sarat Chakraborty"/>
    <n v="80"/>
    <n v="0"/>
    <n v="0"/>
    <n v="0"/>
    <n v="0"/>
    <n v="0"/>
    <n v="80"/>
    <n v="0.55909090909090908"/>
    <n v="4.8"/>
    <s v="20339 (56%)"/>
  </r>
  <r>
    <x v="40"/>
    <s v="PPS Motors Pvt Ltd_KA"/>
    <x v="55"/>
    <n v="1690"/>
    <s v="India II"/>
    <s v="PonnaniRoad"/>
    <s v="Bengaluru"/>
    <s v="Paresh Hegde"/>
    <n v="0"/>
    <n v="0"/>
    <n v="0"/>
    <n v="0"/>
    <n v="0"/>
    <n v="0"/>
    <n v="0"/>
    <n v="0.44090909090909097"/>
    <n v="4.7"/>
    <s v="20347 (44%)"/>
  </r>
  <r>
    <x v="41"/>
    <s v="PPS Motors Pvt Ltd_Kerala"/>
    <x v="56"/>
    <n v="3027"/>
    <s v="India II"/>
    <s v="Ramapuram"/>
    <s v="Thiruvananthapuram"/>
    <s v="Paresh Hegde"/>
    <n v="80"/>
    <n v="0"/>
    <n v="0"/>
    <n v="60"/>
    <n v="0"/>
    <n v="0"/>
    <n v="0"/>
    <n v="0.88307692307692309"/>
    <n v="4.7"/>
    <s v="20381 (88%)"/>
  </r>
  <r>
    <x v="41"/>
    <s v="PPS Motors Pvt Ltd_Kerala"/>
    <x v="57"/>
    <n v="3027"/>
    <s v="India II"/>
    <s v="ChamravattamRoad"/>
    <s v="Kollam"/>
    <s v="Paresh Hegde"/>
    <n v="0"/>
    <n v="50"/>
    <n v="0"/>
    <n v="75"/>
    <n v="0"/>
    <n v="80"/>
    <n v="0"/>
    <n v="0.11692307692307692"/>
    <n v="4.7"/>
    <s v="10382 (12%)"/>
  </r>
  <r>
    <x v="42"/>
    <s v="PPS Motors Pvt Ltd_TL"/>
    <x v="58"/>
    <n v="3654"/>
    <s v="India II"/>
    <s v="Thrissur"/>
    <s v="Hyderabad"/>
    <s v="Paresh Hegde"/>
    <n v="100"/>
    <n v="0"/>
    <n v="0"/>
    <n v="0"/>
    <n v="0"/>
    <n v="0"/>
    <n v="0"/>
    <n v="0.80799999999999994"/>
    <n v="4.5999999999999996"/>
    <s v="20350 (81%)"/>
  </r>
  <r>
    <x v="43"/>
    <s v="Prem Garages Pvt. Ltd"/>
    <x v="59"/>
    <n v="2861"/>
    <s v="India II"/>
    <s v="AJCBoseRoad"/>
    <s v="Agra"/>
    <s v="Pradeep K"/>
    <n v="80"/>
    <n v="50"/>
    <n v="0"/>
    <n v="0"/>
    <n v="0"/>
    <n v="80"/>
    <n v="210"/>
    <n v="1"/>
    <n v="4.7"/>
    <s v="10336 (100%)"/>
  </r>
  <r>
    <x v="44"/>
    <s v="Presidency Cars Pvt. Ltd."/>
    <x v="60"/>
    <n v="2105"/>
    <s v="India II"/>
    <s v="V.I.PRoad"/>
    <s v="Surat"/>
    <s v="Pradeep K"/>
    <n v="80"/>
    <n v="40"/>
    <n v="100"/>
    <n v="75"/>
    <n v="75"/>
    <n v="80"/>
    <n v="0"/>
    <n v="1"/>
    <n v="4.8"/>
    <s v="10349 (100%)"/>
  </r>
  <r>
    <x v="45"/>
    <s v="Raja Ganesh Motors"/>
    <x v="61"/>
    <n v="2044"/>
    <s v="India II"/>
    <s v="Kamrangu"/>
    <s v="Bengaluru"/>
    <s v="Pradeep K"/>
    <n v="80"/>
    <n v="0"/>
    <n v="100"/>
    <n v="0"/>
    <n v="0"/>
    <n v="0"/>
    <n v="0"/>
    <n v="1"/>
    <n v="4.5"/>
    <s v="20351 (100%)"/>
  </r>
  <r>
    <x v="46"/>
    <s v="Raja Motors Corporation"/>
    <x v="62"/>
    <n v="4183"/>
    <s v="India II"/>
    <s v="SevokeRoad"/>
    <s v="Hubballi"/>
    <s v="Pradeep K"/>
    <n v="0"/>
    <n v="40"/>
    <n v="0"/>
    <n v="60"/>
    <n v="60"/>
    <n v="80"/>
    <n v="0"/>
    <n v="1"/>
    <n v="4.9000000000000004"/>
    <s v="10390 (100%)"/>
  </r>
  <r>
    <x v="47"/>
    <s v="Ring Road Motocorp Pvt Ltd"/>
    <x v="63"/>
    <n v="2496"/>
    <s v="India II"/>
    <s v="Khairasole"/>
    <s v="New Delhi"/>
    <s v="Pradeep K"/>
    <n v="80"/>
    <n v="0"/>
    <n v="0"/>
    <n v="0"/>
    <n v="0"/>
    <n v="0"/>
    <n v="80"/>
    <n v="0.46994535519125691"/>
    <n v="4.7"/>
    <s v="20363 (47%)"/>
  </r>
  <r>
    <x v="47"/>
    <s v="Ring Road Motocorp Pvt Ltd"/>
    <x v="64"/>
    <n v="2496"/>
    <s v="India II"/>
    <s v="Ambattur"/>
    <s v="Gurugram"/>
    <s v="Jobin Mathew"/>
    <n v="80"/>
    <n v="0"/>
    <n v="0"/>
    <n v="75"/>
    <n v="0"/>
    <n v="0"/>
    <n v="155"/>
    <n v="0.5300546448087432"/>
    <n v="4.7"/>
    <s v="20359 (53%)"/>
  </r>
  <r>
    <x v="48"/>
    <s v="RN Mobility Pvt. Ltd."/>
    <x v="65"/>
    <n v="1862"/>
    <s v="India II"/>
    <s v="GanapathyNagar"/>
    <s v="Saharanpur"/>
    <s v="Jobin Mathew"/>
    <n v="0"/>
    <n v="0"/>
    <n v="0"/>
    <n v="0"/>
    <n v="0"/>
    <n v="0"/>
    <n v="0"/>
    <n v="1"/>
    <s v="Not Available"/>
    <s v="20402 (100%)"/>
  </r>
  <r>
    <x v="49"/>
    <s v="S7 Cars India Pvt. Ltd"/>
    <x v="66"/>
    <n v="1204"/>
    <s v="India II"/>
    <s v="Perumugai"/>
    <s v="Salem"/>
    <s v="Jobin Mathew"/>
    <n v="100"/>
    <n v="50"/>
    <n v="100"/>
    <n v="75"/>
    <n v="75"/>
    <n v="100"/>
    <n v="0"/>
    <n v="1"/>
    <n v="4.8"/>
    <s v="10141 (100%)"/>
  </r>
  <r>
    <x v="50"/>
    <s v="Saisha Motors Pvt Ltd"/>
    <x v="67"/>
    <n v="1987"/>
    <s v="India II"/>
    <s v="PudukottaiRoad"/>
    <s v="Jaipur"/>
    <s v="Jobin Mathew"/>
    <n v="80"/>
    <n v="50"/>
    <n v="80"/>
    <n v="75"/>
    <n v="60"/>
    <n v="80"/>
    <n v="425"/>
    <n v="1"/>
    <n v="4.7"/>
    <s v="20290 (100%)"/>
  </r>
  <r>
    <x v="51"/>
    <s v="Sarra Motors"/>
    <x v="68"/>
    <n v="1958"/>
    <s v="India II"/>
    <s v="Kattupakkam"/>
    <s v="Chhatrapati Sambhajinagar"/>
    <s v="Jobin Mathew"/>
    <n v="100"/>
    <n v="40"/>
    <n v="0"/>
    <n v="0"/>
    <n v="0"/>
    <n v="80"/>
    <n v="0"/>
    <n v="1"/>
    <n v="4.7"/>
    <s v="10032 (100%)"/>
  </r>
  <r>
    <x v="52"/>
    <s v="Satguru Motors"/>
    <x v="69"/>
    <n v="1489"/>
    <s v="India II"/>
    <s v="AnnaNagar"/>
    <s v="Indore"/>
    <s v="Jobin Mathew"/>
    <n v="80"/>
    <n v="0"/>
    <n v="100"/>
    <n v="0"/>
    <n v="60"/>
    <n v="0"/>
    <n v="240"/>
    <n v="1"/>
    <n v="4.7"/>
    <s v="10025 (100%)"/>
  </r>
  <r>
    <x v="53"/>
    <s v="SGA Cars India Pvt Ltd "/>
    <x v="70"/>
    <n v="2154"/>
    <s v="India II"/>
    <s v="Teynampet"/>
    <s v="Coimbatore"/>
    <s v="Jobin Mathew"/>
    <n v="100"/>
    <n v="50"/>
    <n v="100"/>
    <n v="60"/>
    <n v="75"/>
    <n v="80"/>
    <n v="465"/>
    <n v="1"/>
    <n v="4.7"/>
    <s v="10259 (100%)"/>
  </r>
  <r>
    <x v="54"/>
    <s v="Shanta Motors Pvt. Ltd."/>
    <x v="71"/>
    <n v="2185"/>
    <s v="India I"/>
    <s v="Amritsar"/>
    <s v="Udaipur"/>
    <s v="Harsh Rajan"/>
    <n v="0"/>
    <n v="50"/>
    <n v="0"/>
    <n v="0"/>
    <n v="0"/>
    <n v="0"/>
    <n v="0"/>
    <n v="1"/>
    <n v="4.9000000000000004"/>
    <s v="10392 (100%)"/>
  </r>
  <r>
    <x v="55"/>
    <s v="Shreenathji Automobiles Pvt Ltd"/>
    <x v="72"/>
    <n v="2774"/>
    <s v="India II"/>
    <s v="Adityapur"/>
    <s v="Rajkot"/>
    <s v="Tobruk Bhan"/>
    <n v="80"/>
    <n v="50"/>
    <n v="80"/>
    <n v="75"/>
    <n v="75"/>
    <n v="100"/>
    <n v="460"/>
    <n v="1"/>
    <n v="4.7"/>
    <s v="20335 (100%)"/>
  </r>
  <r>
    <x v="56"/>
    <s v="ShriBalaji AutoAgency Mysore Pvt. Ltd"/>
    <x v="73"/>
    <n v="2168"/>
    <s v="India I"/>
    <s v="Hoshangabadroad"/>
    <s v="Mysore"/>
    <s v="Pratap C."/>
    <n v="0"/>
    <n v="0"/>
    <n v="0"/>
    <n v="75"/>
    <n v="60"/>
    <n v="0"/>
    <n v="0"/>
    <n v="1"/>
    <n v="4.5999999999999996"/>
    <s v="10343 (100%)"/>
  </r>
  <r>
    <x v="57"/>
    <s v="Unique Automobiles (Cars) Pvt. Ltd"/>
    <x v="74"/>
    <n v="2855"/>
    <s v="India I"/>
    <m/>
    <s v="Kolhapur"/>
    <s v="Pratap C."/>
    <n v="100"/>
    <n v="50"/>
    <n v="0"/>
    <n v="60"/>
    <n v="75"/>
    <n v="80"/>
    <n v="0"/>
    <n v="1"/>
    <n v="4.7"/>
    <s v="10026 (100%)"/>
  </r>
  <r>
    <x v="10"/>
    <s v="BLC Autosales Pvt Ltd+Sidak Automobiles"/>
    <x v="75"/>
    <n v="1337"/>
    <s v="India I"/>
    <s v="Dwarka"/>
    <s v="Karnal"/>
    <s v="Dinesh Bhatia"/>
    <n v="100"/>
    <n v="50"/>
    <n v="80"/>
    <n v="0"/>
    <n v="0"/>
    <n v="80"/>
    <n v="0"/>
    <n v="0.7213114754098362"/>
    <n v="4.7"/>
    <s v="10100 (72%)"/>
  </r>
  <r>
    <x v="58"/>
    <s v="Singhania Motors Pvt Ltd"/>
    <x v="76"/>
    <n v="4077"/>
    <s v="India I"/>
    <s v="SohnaRoad"/>
    <s v="Dhanbad"/>
    <s v="Dinesh Bhatia"/>
    <n v="0"/>
    <n v="0"/>
    <n v="0"/>
    <n v="0"/>
    <n v="60"/>
    <n v="0"/>
    <n v="0"/>
    <n v="0.37254901960784315"/>
    <n v="4.7"/>
    <s v="10373 (37%)"/>
  </r>
  <r>
    <x v="58"/>
    <s v="Singhania Motors Pvt Ltd"/>
    <x v="77"/>
    <n v="4077"/>
    <s v="India I"/>
    <s v="SouthDelhi"/>
    <s v="Ranchi"/>
    <s v="Dinesh Bhatia"/>
    <n v="0"/>
    <n v="0"/>
    <n v="0"/>
    <n v="0"/>
    <n v="0"/>
    <n v="0"/>
    <n v="0"/>
    <n v="0.62745098039215697"/>
    <n v="4.7"/>
    <s v="10372 (63%)"/>
  </r>
  <r>
    <x v="59"/>
    <s v="Speed Automotive Pvt. Ltd."/>
    <x v="78"/>
    <n v="2427"/>
    <s v="India I"/>
    <s v="Sector15"/>
    <s v="Raipur"/>
    <s v="Dinesh Bhatia"/>
    <n v="0"/>
    <n v="40"/>
    <n v="100"/>
    <n v="0"/>
    <n v="60"/>
    <n v="0"/>
    <n v="0"/>
    <n v="0.67844522968197873"/>
    <n v="4.0999999999999996"/>
    <s v="10102 (68%)"/>
  </r>
  <r>
    <x v="59"/>
    <s v="Speed Automotive Pvt. Ltd."/>
    <x v="79"/>
    <n v="2427"/>
    <s v="India II"/>
    <s v="Naharlagun"/>
    <s v="Bilaspur"/>
    <s v="Tobruk Bhan"/>
    <n v="0"/>
    <n v="50"/>
    <n v="100"/>
    <n v="75"/>
    <n v="75"/>
    <n v="100"/>
    <n v="0"/>
    <n v="0.32155477031802121"/>
    <n v="4.4000000000000004"/>
    <s v="10375 (32%)"/>
  </r>
  <r>
    <x v="60"/>
    <s v="Speedworks Auto Private Limited"/>
    <x v="80"/>
    <n v="3225"/>
    <s v="India I"/>
    <s v="IndustrialArea,Phase-I"/>
    <s v="Kanpur"/>
    <s v="Harsh Rajan"/>
    <n v="100"/>
    <n v="50"/>
    <n v="0"/>
    <n v="75"/>
    <n v="75"/>
    <n v="100"/>
    <n v="400"/>
    <n v="0.36138613861386137"/>
    <n v="4.9000000000000004"/>
    <s v="20369 (36%)"/>
  </r>
  <r>
    <x v="61"/>
    <s v="Stellar Autohaus Pvt ltd  "/>
    <x v="81"/>
    <n v="2358"/>
    <s v="India I"/>
    <s v="Kapurthala"/>
    <s v="Ahmedabad"/>
    <s v="Harsh Rajan"/>
    <n v="100"/>
    <n v="50"/>
    <n v="100"/>
    <n v="75"/>
    <n v="60"/>
    <n v="80"/>
    <n v="0"/>
    <n v="0.3900841908325538"/>
    <n v="4.5999999999999996"/>
    <s v="20316 (39%)"/>
  </r>
  <r>
    <x v="61"/>
    <s v="Stellar Autohaus Pvt ltd  "/>
    <x v="82"/>
    <n v="2358"/>
    <s v="India I"/>
    <s v="DhandariKalan"/>
    <s v="Surat"/>
    <s v="Harsh Rajan"/>
    <n v="100"/>
    <n v="50"/>
    <n v="100"/>
    <n v="75"/>
    <n v="75"/>
    <n v="100"/>
    <n v="500"/>
    <n v="0.43217960710944808"/>
    <n v="4.8"/>
    <s v="20333 (43%)"/>
  </r>
  <r>
    <x v="61"/>
    <s v="Stellar Autohaus Pvt ltd  "/>
    <x v="83"/>
    <n v="2358"/>
    <s v="India I"/>
    <s v="MansaRoad"/>
    <s v="Vadodara"/>
    <s v="Harsh Rajan"/>
    <n v="80"/>
    <n v="40"/>
    <n v="100"/>
    <n v="75"/>
    <n v="60"/>
    <n v="80"/>
    <n v="435"/>
    <n v="0.17773620205799814"/>
    <n v="4.7"/>
    <s v="20323 (18%)"/>
  </r>
  <r>
    <x v="62"/>
    <s v="SV Autowheels LLP "/>
    <x v="84"/>
    <n v="2785"/>
    <s v="India II"/>
    <s v="Nandanam"/>
    <s v="Patna"/>
    <s v="Jobin Mathew"/>
    <n v="0"/>
    <n v="40"/>
    <n v="0"/>
    <n v="0"/>
    <n v="0"/>
    <n v="80"/>
    <n v="0"/>
    <n v="1"/>
    <n v="4.8"/>
    <s v="20353 (100%)"/>
  </r>
  <r>
    <x v="63"/>
    <s v="Tafe Access Limited "/>
    <x v="85"/>
    <n v="2347"/>
    <s v="India II"/>
    <s v="Guduvanchery"/>
    <s v="Bengaluru"/>
    <s v="Jobin Mathew"/>
    <n v="100"/>
    <n v="0"/>
    <n v="100"/>
    <n v="60"/>
    <n v="0"/>
    <n v="0"/>
    <n v="0"/>
    <n v="0.81436642453591601"/>
    <n v="4.5"/>
    <s v="22021 (81%)"/>
  </r>
  <r>
    <x v="63"/>
    <s v="Tafe Access Limited "/>
    <x v="86"/>
    <n v="2347"/>
    <s v="India II"/>
    <s v="Pachaiyankuppam"/>
    <s v="Mangalore"/>
    <s v="Jobin Mathew"/>
    <n v="100"/>
    <n v="50"/>
    <n v="100"/>
    <n v="75"/>
    <n v="60"/>
    <n v="100"/>
    <n v="485"/>
    <n v="0.18563357546408391"/>
    <n v="4.7"/>
    <s v="23021 (19%)"/>
  </r>
  <r>
    <x v="64"/>
    <s v="United Wheels"/>
    <x v="87"/>
    <n v="1996"/>
    <s v="India II"/>
    <s v="ECRRoad"/>
    <s v="Ambala"/>
    <s v="Jobin Mathew"/>
    <n v="80"/>
    <n v="50"/>
    <n v="0"/>
    <n v="75"/>
    <n v="60"/>
    <n v="80"/>
    <n v="345"/>
    <n v="1"/>
    <n v="4.8"/>
    <s v="10394 (100%)"/>
  </r>
  <r>
    <x v="65"/>
    <s v="Utsav India Cars LLP"/>
    <x v="88"/>
    <n v="3902"/>
    <s v="India II"/>
    <s v="OMR"/>
    <s v="Jodhpur"/>
    <s v="Jobin Mathew"/>
    <n v="0"/>
    <n v="0"/>
    <n v="100"/>
    <n v="75"/>
    <n v="75"/>
    <n v="0"/>
    <n v="250"/>
    <n v="1"/>
    <n v="4.9000000000000004"/>
    <s v="20396 (100%)"/>
  </r>
  <r>
    <x v="66"/>
    <s v="Wheelocity Motors Pvt Ltd + Elysian Automobile Pvt. Ltd."/>
    <x v="89"/>
    <n v="3850"/>
    <s v="India II"/>
    <s v="Marripalem"/>
    <s v="Jammu"/>
    <s v="Ankit Gupta"/>
    <n v="0"/>
    <n v="0"/>
    <n v="100"/>
    <n v="60"/>
    <n v="0"/>
    <n v="0"/>
    <n v="0"/>
    <n v="1"/>
    <n v="4.7"/>
    <s v="20292 (100%)"/>
  </r>
  <r>
    <x v="67"/>
    <s v="Dhone Mobility Pvt. Ltd."/>
    <x v="90"/>
    <n v="2398"/>
    <s v="India-I"/>
    <s v="Wagholi"/>
    <s v="Pune"/>
    <m/>
    <n v="0"/>
    <n v="40"/>
    <n v="0"/>
    <n v="0"/>
    <n v="60"/>
    <n v="0"/>
    <n v="100"/>
    <n v="1"/>
    <n v="4.9000000000000004"/>
    <s v="20406 (100%)"/>
  </r>
  <r>
    <x v="68"/>
    <s v="Empreo Allied Pvt. Ltd."/>
    <x v="91"/>
    <n v="1419"/>
    <s v="India-II"/>
    <s v="Patia"/>
    <s v="Bhubaneswar"/>
    <m/>
    <n v="0"/>
    <n v="50"/>
    <n v="0"/>
    <n v="0"/>
    <n v="75"/>
    <n v="80"/>
    <n v="0"/>
    <n v="1"/>
    <n v="4.9000000000000004"/>
    <s v="20400 (100%)"/>
  </r>
  <r>
    <x v="69"/>
    <s v="Gurukrupa Cars Pvt. Ltd."/>
    <x v="92"/>
    <n v="4121"/>
    <s v="India-I"/>
    <s v="Shivaji Nagar"/>
    <s v="Solapur"/>
    <m/>
    <n v="0"/>
    <n v="0"/>
    <n v="0"/>
    <n v="0"/>
    <n v="0"/>
    <n v="0"/>
    <n v="0"/>
    <n v="1"/>
    <n v="4.9000000000000004"/>
    <s v="10405 (100%)"/>
  </r>
  <r>
    <x v="70"/>
    <s v="Kanal Vehicles LLP"/>
    <x v="93"/>
    <n v="1672"/>
    <s v="India-II"/>
    <s v="Civil Lines"/>
    <s v="Jhansi"/>
    <m/>
    <n v="0"/>
    <n v="0"/>
    <n v="0"/>
    <n v="0"/>
    <n v="60"/>
    <n v="0"/>
    <n v="0"/>
    <n v="1"/>
    <n v="5"/>
    <s v="10403 (100%)"/>
  </r>
  <r>
    <x v="42"/>
    <s v="PPS Motors Pvt Ltd_TL"/>
    <x v="94"/>
    <n v="3654"/>
    <s v="India-II"/>
    <s v="Bachupally"/>
    <s v="Hyderabad"/>
    <m/>
    <n v="0"/>
    <n v="0"/>
    <n v="0"/>
    <n v="75"/>
    <n v="75"/>
    <n v="0"/>
    <n v="0"/>
    <n v="0.192"/>
    <n v="4.4000000000000004"/>
    <s v="20413 (19%)"/>
  </r>
  <r>
    <x v="71"/>
    <s v="(SPL) Sanwaria Automotive Pvt. Ltd"/>
    <x v="95"/>
    <n v="1468"/>
    <s v="India-II"/>
    <s v="NH 12 Road"/>
    <s v="Barasat"/>
    <m/>
    <n v="0"/>
    <n v="0"/>
    <n v="0"/>
    <n v="75"/>
    <n v="75"/>
    <n v="80"/>
    <n v="0"/>
    <n v="1"/>
    <s v="Not Available"/>
    <s v="20418 (100%)"/>
  </r>
  <r>
    <x v="72"/>
    <s v="Ramani Automotive Excellence Pvt. Ltd."/>
    <x v="96"/>
    <n v="1938"/>
    <s v="India-II"/>
    <s v="Kappalur"/>
    <s v="Madurai"/>
    <m/>
    <n v="0"/>
    <n v="0"/>
    <n v="100"/>
    <n v="0"/>
    <n v="60"/>
    <n v="0"/>
    <n v="0"/>
    <n v="1"/>
    <n v="4.9000000000000004"/>
    <s v="20411 (100%)"/>
  </r>
  <r>
    <x v="73"/>
    <s v="Shyam Sangam Automobiles Pvt Ltd"/>
    <x v="97"/>
    <n v="2021"/>
    <s v="India-I"/>
    <s v="Rau"/>
    <s v="Indore"/>
    <m/>
    <n v="0"/>
    <n v="0"/>
    <n v="0"/>
    <n v="75"/>
    <n v="75"/>
    <n v="0"/>
    <n v="0"/>
    <n v="1"/>
    <n v="5"/>
    <s v="20415 (100%)"/>
  </r>
  <r>
    <x v="74"/>
    <s v="N.K. Motocorp Private Limited"/>
    <x v="98"/>
    <n v="2706"/>
    <m/>
    <m/>
    <m/>
    <m/>
    <n v="0"/>
    <n v="0"/>
    <n v="0"/>
    <n v="0"/>
    <n v="0"/>
    <n v="0"/>
    <n v="0"/>
    <n v="0"/>
    <n v="0"/>
    <s v="No Service (0%)"/>
  </r>
  <r>
    <x v="75"/>
    <s v="Dunac Autoworld Private Limited"/>
    <x v="98"/>
    <n v="2003"/>
    <m/>
    <m/>
    <m/>
    <m/>
    <n v="0"/>
    <n v="0"/>
    <n v="0"/>
    <n v="0"/>
    <n v="0"/>
    <n v="0"/>
    <n v="0"/>
    <n v="0"/>
    <n v="0"/>
    <s v="No Service (0%)"/>
  </r>
  <r>
    <x v="76"/>
    <s v="Karr Motor Ventures Pvt. Ltd"/>
    <x v="99"/>
    <n v="1998"/>
    <s v="India-II"/>
    <s v="Bannerghatta Road"/>
    <s v="Bengaluru"/>
    <m/>
    <n v="0"/>
    <n v="0"/>
    <n v="0"/>
    <n v="75"/>
    <n v="75"/>
    <n v="0"/>
    <n v="150"/>
    <n v="1"/>
    <n v="5"/>
    <s v="20410 (100%)"/>
  </r>
  <r>
    <x v="77"/>
    <s v="KNS Vinayak Autoventures Pvt Ltd"/>
    <x v="100"/>
    <n v="5957"/>
    <s v="India-I"/>
    <s v="Supela"/>
    <s v="Bhilai"/>
    <m/>
    <n v="0"/>
    <n v="40"/>
    <n v="0"/>
    <n v="0"/>
    <n v="60"/>
    <n v="80"/>
    <n v="180"/>
    <n v="1"/>
    <n v="4.8"/>
    <s v="10419 (100%)"/>
  </r>
  <r>
    <x v="78"/>
    <s v="Malwa Motor Sales Pvt. Ltd."/>
    <x v="101"/>
    <n v="1879"/>
    <s v="India-I"/>
    <s v="GT Road"/>
    <s v="Kundli"/>
    <m/>
    <n v="0"/>
    <n v="0"/>
    <n v="0"/>
    <n v="0"/>
    <n v="0"/>
    <n v="0"/>
    <n v="0"/>
    <n v="1"/>
    <n v="4.7"/>
    <s v="20395 (100%)"/>
  </r>
  <r>
    <x v="9"/>
    <s v="Berk Autozone LLP"/>
    <x v="102"/>
    <n v="1221"/>
    <s v="India-I"/>
    <s v="Phase 7 Industrial Area"/>
    <s v="Mohali"/>
    <m/>
    <n v="0"/>
    <n v="0"/>
    <n v="0"/>
    <n v="75"/>
    <n v="0"/>
    <n v="0"/>
    <n v="0"/>
    <n v="0.452191235059761"/>
    <n v="4.5999999999999996"/>
    <s v="20398 (45%)"/>
  </r>
  <r>
    <x v="79"/>
    <s v="Buglee Automobiles Pvt. Ltd."/>
    <x v="103"/>
    <n v="3783"/>
    <s v="India-I"/>
    <s v="Moti Nagar"/>
    <s v="New Delhi"/>
    <m/>
    <n v="80"/>
    <n v="50"/>
    <n v="80"/>
    <n v="75"/>
    <n v="0"/>
    <n v="100"/>
    <n v="0"/>
    <n v="1"/>
    <n v="4.7"/>
    <s v="20409 (100%)"/>
  </r>
  <r>
    <x v="24"/>
    <s v="Gurudev Motors Pvt. Ltd"/>
    <x v="104"/>
    <n v="1453"/>
    <s v="India-II"/>
    <s v="Kundrathur"/>
    <s v="Chennai"/>
    <m/>
    <n v="100"/>
    <n v="40"/>
    <n v="80"/>
    <n v="75"/>
    <n v="60"/>
    <n v="80"/>
    <n v="435"/>
    <n v="0"/>
    <s v="Not Available"/>
    <s v="20421 (0%)"/>
  </r>
  <r>
    <x v="80"/>
    <s v="Krown Mobility Private Limited"/>
    <x v="105"/>
    <n v="1102"/>
    <s v="India-I"/>
    <s v="Hoshangabad Road"/>
    <s v="Bhopal"/>
    <m/>
    <n v="0"/>
    <n v="0"/>
    <n v="0"/>
    <n v="0"/>
    <n v="75"/>
    <n v="0"/>
    <n v="75"/>
    <n v="1"/>
    <s v="Not Available"/>
    <s v="10424 (100%)"/>
  </r>
  <r>
    <x v="60"/>
    <s v="Speedworks Auto Private Limited"/>
    <x v="106"/>
    <n v="3225"/>
    <s v="India-II"/>
    <s v="Transport Nagar"/>
    <s v="Lucknow"/>
    <m/>
    <n v="80"/>
    <n v="50"/>
    <n v="0"/>
    <n v="75"/>
    <n v="75"/>
    <n v="100"/>
    <n v="380"/>
    <n v="0.63861386138613863"/>
    <n v="4.9000000000000004"/>
    <s v="20412 (64%)"/>
  </r>
  <r>
    <x v="81"/>
    <s v="-"/>
    <x v="107"/>
    <s v="-"/>
    <s v="-"/>
    <s v="-"/>
    <s v="-"/>
    <s v="-"/>
    <s v="-"/>
    <s v="-"/>
    <s v="-"/>
    <s v="-"/>
    <s v="-"/>
    <s v="-"/>
    <n v="0"/>
    <s v="-"/>
    <s v="-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">
  <r>
    <x v="0"/>
    <s v="(Regent) Tejpal Motors Pvt. Ltd."/>
    <x v="0"/>
    <n v="1758"/>
    <s v="India-I"/>
    <s v="Kandivali (West)"/>
    <s v="Mumbai"/>
    <s v="Nishant Sinha"/>
    <n v="100"/>
    <n v="100"/>
    <n v="50"/>
    <n v="0"/>
    <n v="100"/>
    <n v="100"/>
    <n v="450"/>
    <n v="0.31818181818181818"/>
    <n v="4.8"/>
    <s v="10391 (32%)"/>
  </r>
  <r>
    <x v="0"/>
    <s v="(Regent) Tejpal Motors Pvt. Ltd."/>
    <x v="1"/>
    <n v="1758"/>
    <s v="India-I"/>
    <s v="Thane"/>
    <s v="Thane (Mumbai)"/>
    <s v="Nishant Sinha"/>
    <n v="100"/>
    <n v="100"/>
    <n v="50"/>
    <n v="0"/>
    <n v="80"/>
    <n v="80"/>
    <n v="410"/>
    <n v="0.53787878787878785"/>
    <n v="4.8"/>
    <s v="10380 (54%)"/>
  </r>
  <r>
    <x v="0"/>
    <s v="(Regent) Tejpal Motors Pvt. Ltd."/>
    <x v="2"/>
    <n v="1758"/>
    <s v="India-I"/>
    <s v="Kalyan - Bhiwandi Road"/>
    <s v="Bhiwandi"/>
    <s v="Nishant Sinha"/>
    <n v="100"/>
    <n v="100"/>
    <n v="50"/>
    <n v="0"/>
    <n v="100"/>
    <n v="0"/>
    <n v="350"/>
    <n v="0.14393939393939395"/>
    <n v="4.9000000000000004"/>
    <s v="1038001A (14%)"/>
  </r>
  <r>
    <x v="1"/>
    <s v="(Trinity) Durgesh Motors Pvt. Ltd. "/>
    <x v="3"/>
    <n v="4496"/>
    <s v="India-II"/>
    <s v="Bhubaneshwar"/>
    <s v="Bhubneshwar"/>
    <s v="Pradeep K"/>
    <n v="100"/>
    <n v="100"/>
    <n v="0"/>
    <n v="50"/>
    <n v="100"/>
    <n v="80"/>
    <n v="430"/>
    <n v="0.65753424657534243"/>
    <n v="4.7"/>
    <s v="10296 (66%)"/>
  </r>
  <r>
    <x v="1"/>
    <s v="(Trinity) Durgesh Motors Pvt. Ltd. "/>
    <x v="4"/>
    <n v="4496"/>
    <s v="India-II"/>
    <s v="Sundargarh"/>
    <s v="Rourkela"/>
    <s v="Pradeep K"/>
    <n v="0"/>
    <n v="100"/>
    <n v="0"/>
    <n v="50"/>
    <n v="100"/>
    <n v="80"/>
    <n v="330"/>
    <n v="0.1095890410958904"/>
    <n v="4.7"/>
    <s v="1029602A (11%)"/>
  </r>
  <r>
    <x v="1"/>
    <s v="(Trinity) Durgesh Motors Pvt. Ltd. "/>
    <x v="5"/>
    <n v="4496"/>
    <s v="India-II"/>
    <s v="Sambalpur"/>
    <s v="Sambalpur"/>
    <s v="Pradeep K"/>
    <n v="0"/>
    <n v="0"/>
    <n v="0"/>
    <n v="50"/>
    <n v="100"/>
    <n v="0"/>
    <n v="150"/>
    <n v="0.1095890410958904"/>
    <n v="4.7"/>
    <s v="1029601A (11%)"/>
  </r>
  <r>
    <x v="2"/>
    <s v="Akoya Motors Pvt Ltd"/>
    <x v="6"/>
    <n v="4357"/>
    <s v="India-I"/>
    <s v="Viman Nagar"/>
    <s v="Pune"/>
    <s v="Nishant Sinha"/>
    <n v="100"/>
    <n v="80"/>
    <n v="40"/>
    <n v="40"/>
    <n v="80"/>
    <n v="80"/>
    <n v="420"/>
    <n v="0.21965317919075145"/>
    <n v="4.7"/>
    <s v="1030201A (22%)"/>
  </r>
  <r>
    <x v="2"/>
    <s v="Akoya Motors Pvt Ltd"/>
    <x v="7"/>
    <n v="4357"/>
    <s v="India-I"/>
    <s v="Warje"/>
    <s v="Pune"/>
    <s v="Nishant Sinha"/>
    <n v="100"/>
    <n v="0"/>
    <n v="40"/>
    <n v="40"/>
    <n v="80"/>
    <n v="0"/>
    <n v="260"/>
    <n v="0.2138728323699422"/>
    <n v="4.9000000000000004"/>
    <s v="1030202A (21%)"/>
  </r>
  <r>
    <x v="2"/>
    <s v="Akoya Motors Pvt Ltd"/>
    <x v="8"/>
    <n v="4357"/>
    <s v="India-I"/>
    <s v="Baner"/>
    <s v="Pune"/>
    <s v="Nishant Sinha"/>
    <n v="100"/>
    <n v="100"/>
    <n v="40"/>
    <n v="40"/>
    <n v="80"/>
    <n v="0"/>
    <n v="0"/>
    <n v="0.56647398843930641"/>
    <n v="4.5999999999999996"/>
    <s v="10302 (57%)"/>
  </r>
  <r>
    <x v="3"/>
    <s v="Ananya Sales Pvt Ltd"/>
    <x v="9"/>
    <n v="2767"/>
    <s v="India-I"/>
    <s v="Shivpuri Link Road"/>
    <s v="Gwalior"/>
    <s v="Pratap C."/>
    <n v="0"/>
    <n v="0"/>
    <n v="0"/>
    <n v="0"/>
    <n v="80"/>
    <n v="100"/>
    <n v="0"/>
    <n v="1"/>
    <n v="4.8"/>
    <s v="10379 (100%)"/>
  </r>
  <r>
    <x v="4"/>
    <s v="Aura Motors Pvt. Ltd + Maverick Motors "/>
    <x v="10"/>
    <n v="3616"/>
    <s v="India-II"/>
    <s v="Tirunelveli"/>
    <s v="Tirunelveli"/>
    <s v="Jobin Mathew"/>
    <s v="-"/>
    <s v="-"/>
    <s v="-"/>
    <s v="-"/>
    <s v="-"/>
    <s v="-"/>
    <n v="0"/>
    <n v="0"/>
    <n v="0"/>
    <s v="10211 (0%)"/>
  </r>
  <r>
    <x v="4"/>
    <s v="Aura Motors Pvt. Ltd + Maverick Motors "/>
    <x v="11"/>
    <n v="3616"/>
    <s v="India-II"/>
    <s v="Vetturnimadam"/>
    <s v="Nagercoil"/>
    <s v="Jobin Mathew"/>
    <s v="-"/>
    <s v="-"/>
    <s v="-"/>
    <s v="-"/>
    <s v="-"/>
    <s v="-"/>
    <n v="0"/>
    <n v="0"/>
    <n v="0"/>
    <s v="1021101C (0%)"/>
  </r>
  <r>
    <x v="5"/>
    <s v="Avya Automobiles Pvt. Ltd."/>
    <x v="12"/>
    <n v="3530"/>
    <s v="India-II"/>
    <s v="Tandon Road"/>
    <s v="Prayagraj"/>
    <s v="Chirag Khanna"/>
    <n v="80"/>
    <n v="80"/>
    <n v="0"/>
    <n v="0"/>
    <n v="100"/>
    <n v="0"/>
    <n v="260"/>
    <n v="0.6376811594202898"/>
    <n v="5"/>
    <s v="10365 (64%)"/>
  </r>
  <r>
    <x v="5"/>
    <s v="Avya Automobiles Pvt. Ltd."/>
    <x v="13"/>
    <n v="3530"/>
    <s v="India-II"/>
    <s v="Tarna Shivpur"/>
    <s v="Varanasi"/>
    <s v="Chirag Khanna"/>
    <n v="100"/>
    <n v="100"/>
    <n v="0"/>
    <n v="0"/>
    <n v="0"/>
    <n v="80"/>
    <n v="0"/>
    <n v="0.36231884057971014"/>
    <n v="4.8"/>
    <s v="2036501C (36%)"/>
  </r>
  <r>
    <x v="6"/>
    <s v="Berk Autozone LLP"/>
    <x v="14"/>
    <n v="1221"/>
    <s v="India-I"/>
    <s v="Phase 1"/>
    <s v="Panchkula"/>
    <s v="Harsh Rajan"/>
    <n v="80"/>
    <n v="100"/>
    <n v="0"/>
    <n v="50"/>
    <n v="100"/>
    <n v="0"/>
    <n v="0"/>
    <n v="0.32653061224489793"/>
    <n v="4.7"/>
    <s v="10358 (33%)"/>
  </r>
  <r>
    <x v="7"/>
    <s v="BLC Autosales Pvt Ltd+Sidak Automobiles"/>
    <x v="15"/>
    <n v="1337"/>
    <s v="India-I"/>
    <s v="Hisar"/>
    <s v="Hisar"/>
    <s v="Harsh Rajan"/>
    <n v="100"/>
    <n v="100"/>
    <n v="40"/>
    <n v="50"/>
    <n v="0"/>
    <n v="0"/>
    <n v="0"/>
    <n v="0.19834710743801653"/>
    <n v="4.7"/>
    <s v="10288 (20%)"/>
  </r>
  <r>
    <x v="7"/>
    <s v="BLC Autosales Pvt Ltd+Sidak Automobiles"/>
    <x v="16"/>
    <n v="1337"/>
    <s v="India-I"/>
    <s v="Dabwali Road"/>
    <s v="Sirsa"/>
    <s v="Harsh Rajan"/>
    <n v="80"/>
    <n v="100"/>
    <n v="40"/>
    <n v="50"/>
    <n v="100"/>
    <n v="80"/>
    <n v="0"/>
    <n v="9.9173553719008267E-2"/>
    <n v="4.9000000000000004"/>
    <s v="1028801C (10%)"/>
  </r>
  <r>
    <x v="7"/>
    <s v="BLC Autosales Pvt Ltd+Sidak Automobiles"/>
    <x v="17"/>
    <n v="1337"/>
    <s v="India-I"/>
    <s v="Durga Colony"/>
    <s v="Jind"/>
    <s v="Harsh Rajan"/>
    <n v="80"/>
    <n v="100"/>
    <n v="40"/>
    <n v="50"/>
    <n v="100"/>
    <n v="0"/>
    <n v="0"/>
    <n v="9.9173553719008267E-2"/>
    <n v="5"/>
    <s v="1028802C (10%)"/>
  </r>
  <r>
    <x v="7"/>
    <s v="BLC Autosales Pvt Ltd+Sidak Automobiles"/>
    <x v="18"/>
    <n v="1337"/>
    <s v="India-I"/>
    <s v="Opposite Nilkanth Dhaba"/>
    <s v="Karnal"/>
    <s v="Harsh Rajan"/>
    <n v="100"/>
    <n v="100"/>
    <n v="40"/>
    <n v="0"/>
    <n v="100"/>
    <n v="80"/>
    <n v="0"/>
    <n v="0.21487603305785125"/>
    <n v="4.7"/>
    <s v="10100 (21%)"/>
  </r>
  <r>
    <x v="7"/>
    <s v="BLC Autosales Pvt Ltd+Sidak Automobiles"/>
    <x v="19"/>
    <n v="1337"/>
    <s v="India-I"/>
    <s v="Hisar Bye Pass"/>
    <s v="Rohtak"/>
    <s v="Harsh Rajan"/>
    <n v="100"/>
    <n v="100"/>
    <n v="40"/>
    <n v="0"/>
    <n v="100"/>
    <n v="0"/>
    <n v="0"/>
    <n v="0.1487603305785124"/>
    <n v="4.4000000000000004"/>
    <s v="1010001C (15%)"/>
  </r>
  <r>
    <x v="7"/>
    <s v="BLC Autosales Pvt Ltd+Sidak Automobiles"/>
    <x v="20"/>
    <n v="1337"/>
    <s v="India-I"/>
    <s v="GT Road"/>
    <s v="Panipat"/>
    <s v="Harsh Rajan"/>
    <n v="100"/>
    <n v="100"/>
    <n v="40"/>
    <n v="0"/>
    <n v="100"/>
    <n v="80"/>
    <n v="0"/>
    <n v="0.1487603305785124"/>
    <n v="4.9000000000000004"/>
    <s v="1010002C (15%)"/>
  </r>
  <r>
    <x v="8"/>
    <s v="Brite Auto Wheels Private Limited"/>
    <x v="21"/>
    <n v="3001"/>
    <s v="India-I"/>
    <s v="Sector 63"/>
    <s v="Noida"/>
    <s v="Dinesh Bhatia"/>
    <n v="100"/>
    <n v="100"/>
    <n v="0"/>
    <n v="0"/>
    <n v="80"/>
    <n v="0"/>
    <n v="280"/>
    <n v="0.83206106870229013"/>
    <n v="4.7"/>
    <s v="10330 (83%)"/>
  </r>
  <r>
    <x v="8"/>
    <s v="Brite Auto Wheels Private Limited"/>
    <x v="22"/>
    <n v="3001"/>
    <s v="India-I"/>
    <s v="Greater Noida"/>
    <s v="Noida"/>
    <s v="Dinesh Bhatia"/>
    <n v="100"/>
    <n v="100"/>
    <n v="0"/>
    <n v="0"/>
    <n v="80"/>
    <n v="80"/>
    <n v="360"/>
    <n v="0.16793893129770993"/>
    <n v="4.7"/>
    <s v="2033003C (17%)"/>
  </r>
  <r>
    <x v="8"/>
    <s v="Brite Auto Wheels Private Limited"/>
    <x v="23"/>
    <n v="3001"/>
    <s v="India-I"/>
    <s v="Arya Nagar"/>
    <s v="Ghaziabad"/>
    <s v="Dinesh Bhatia"/>
    <n v="100"/>
    <n v="0"/>
    <n v="0"/>
    <n v="0"/>
    <n v="80"/>
    <n v="80"/>
    <n v="260"/>
    <n v="0"/>
    <n v="4.8"/>
    <s v="2033001C (0%)"/>
  </r>
  <r>
    <x v="8"/>
    <s v="Brite Auto Wheels Private Limited"/>
    <x v="24"/>
    <n v="3001"/>
    <s v="India-I"/>
    <s v="Mohkampur"/>
    <s v="Meerut"/>
    <s v="Dinesh Bhatia"/>
    <n v="80"/>
    <n v="0"/>
    <n v="0"/>
    <n v="0"/>
    <n v="100"/>
    <n v="80"/>
    <n v="260"/>
    <n v="0"/>
    <n v="4.8"/>
    <s v="2033002C (0%)"/>
  </r>
  <r>
    <x v="9"/>
    <s v="Commercial Automotives Pvt Ltd"/>
    <x v="25"/>
    <n v="1703"/>
    <s v="India-II"/>
    <s v="Rampur Road"/>
    <s v="Bareilly"/>
    <s v="Chirag Khanna"/>
    <n v="80"/>
    <n v="80"/>
    <n v="0"/>
    <n v="0"/>
    <n v="100"/>
    <n v="0"/>
    <n v="260"/>
    <n v="0.66666666666666663"/>
    <n v="4.7"/>
    <s v="10367 (67%)"/>
  </r>
  <r>
    <x v="9"/>
    <s v="Commercial Automotives Pvt Ltd"/>
    <x v="26"/>
    <n v="1703"/>
    <s v="India-II"/>
    <s v="Kanth Road"/>
    <s v="Moradabad"/>
    <s v="Chirag Khanna"/>
    <n v="80"/>
    <n v="80"/>
    <n v="0"/>
    <n v="0"/>
    <n v="100"/>
    <n v="80"/>
    <n v="340"/>
    <n v="0.33333333333333331"/>
    <n v="4.9000000000000004"/>
    <s v="1036701C (33%)"/>
  </r>
  <r>
    <x v="10"/>
    <s v="DDPM Automobiles LLP"/>
    <x v="27"/>
    <n v="3606"/>
    <s v="India-I"/>
    <s v="Saharanpur Road"/>
    <s v="Dehradun"/>
    <s v="Dinesh Bhatia"/>
    <n v="0"/>
    <n v="80"/>
    <n v="0"/>
    <n v="0"/>
    <n v="0"/>
    <n v="0"/>
    <n v="0"/>
    <n v="1"/>
    <n v="4.3"/>
    <s v="10364 (100%)"/>
  </r>
  <r>
    <x v="11"/>
    <s v="Dev Bhoomi Motors Pvt. Ltd"/>
    <x v="28"/>
    <n v="1161"/>
    <s v="India-I"/>
    <s v="Gutkar"/>
    <s v="Mandi"/>
    <s v="Dinesh Bhatia"/>
    <n v="100"/>
    <n v="100"/>
    <n v="50"/>
    <n v="50"/>
    <n v="80"/>
    <n v="100"/>
    <n v="480"/>
    <n v="0.68888888888888888"/>
    <n v="4.8"/>
    <s v="10202 (69%)"/>
  </r>
  <r>
    <x v="11"/>
    <s v="Dev Bhoomi Motors Pvt. Ltd"/>
    <x v="29"/>
    <n v="1161"/>
    <s v="India-I"/>
    <s v="Saproomy"/>
    <s v="Solan"/>
    <s v="Dinesh Bhatia"/>
    <n v="100"/>
    <n v="100"/>
    <n v="50"/>
    <n v="50"/>
    <n v="100"/>
    <n v="100"/>
    <n v="500"/>
    <n v="0.31111111111111112"/>
    <n v="4.9000000000000004"/>
    <s v="1020201C (31%)"/>
  </r>
  <r>
    <x v="12"/>
    <s v="Emporium Automobile Pvt. Ltd."/>
    <x v="30"/>
    <n v="3955"/>
    <s v="India-II"/>
    <s v="Taleigao"/>
    <s v="Panaji"/>
    <s v="Paresh Hegde"/>
    <n v="80"/>
    <n v="100"/>
    <n v="40"/>
    <n v="50"/>
    <n v="80"/>
    <n v="0"/>
    <n v="350"/>
    <n v="0.72881355932203384"/>
    <n v="4.7"/>
    <s v="10301 (73%)"/>
  </r>
  <r>
    <x v="12"/>
    <s v="Emporium Automobile Pvt. Ltd."/>
    <x v="31"/>
    <n v="3955"/>
    <s v="India-II"/>
    <s v="Agalli"/>
    <s v="Margao"/>
    <s v="Paresh Hegde"/>
    <n v="0"/>
    <n v="100"/>
    <n v="40"/>
    <n v="50"/>
    <n v="0"/>
    <n v="0"/>
    <n v="0"/>
    <n v="0.2711864406779661"/>
    <n v="4.9000000000000004"/>
    <s v="1030101A (27%)"/>
  </r>
  <r>
    <x v="13"/>
    <s v="EVM Motors &amp; Vehicles India Pvt Ltd"/>
    <x v="32"/>
    <n v="3346"/>
    <s v="India-II"/>
    <s v="Calicut"/>
    <s v="Calicut"/>
    <s v="Ankit Gupta"/>
    <n v="100"/>
    <n v="100"/>
    <n v="0"/>
    <n v="50"/>
    <n v="100"/>
    <n v="80"/>
    <n v="0"/>
    <n v="0.17592592592592593"/>
    <n v="4.8"/>
    <s v="10340 (18%)"/>
  </r>
  <r>
    <x v="13"/>
    <s v="EVM Motors &amp; Vehicles India Pvt Ltd"/>
    <x v="33"/>
    <n v="3346"/>
    <s v="India-II"/>
    <s v="Ernakulam"/>
    <s v="Kochi"/>
    <s v="Ankit Gupta"/>
    <n v="100"/>
    <n v="100"/>
    <n v="0"/>
    <n v="0"/>
    <n v="100"/>
    <n v="0"/>
    <n v="0"/>
    <n v="0.25"/>
    <n v="4.7"/>
    <s v="10328 (25%)"/>
  </r>
  <r>
    <x v="13"/>
    <s v="EVM Motors &amp; Vehicles India Pvt Ltd"/>
    <x v="34"/>
    <n v="3346"/>
    <s v="India-II"/>
    <s v="Ettumanoor"/>
    <s v="Kottayam"/>
    <s v="Ankit Gupta"/>
    <n v="100"/>
    <n v="100"/>
    <n v="0"/>
    <n v="50"/>
    <n v="100"/>
    <n v="80"/>
    <n v="0"/>
    <n v="0.13425925925925927"/>
    <n v="4.7"/>
    <s v="10376 (13%)"/>
  </r>
  <r>
    <x v="13"/>
    <s v="EVM Motors &amp; Vehicles India Pvt Ltd"/>
    <x v="35"/>
    <n v="3346"/>
    <s v="India-II"/>
    <s v="Velloorkunnam"/>
    <s v="Muvattupuzha "/>
    <s v="Ankit Gupta"/>
    <n v="100"/>
    <n v="100"/>
    <n v="0"/>
    <n v="0"/>
    <n v="100"/>
    <n v="80"/>
    <n v="380"/>
    <n v="5.5555555555555552E-2"/>
    <n v="4.8"/>
    <s v="1032801A (6%)"/>
  </r>
  <r>
    <x v="13"/>
    <s v="EVM Motors &amp; Vehicles India Pvt Ltd"/>
    <x v="36"/>
    <n v="3346"/>
    <s v="India-II"/>
    <s v="Thottada "/>
    <s v="Kannur"/>
    <s v="Ankit Gupta"/>
    <n v="0"/>
    <n v="100"/>
    <n v="0"/>
    <n v="50"/>
    <n v="100"/>
    <n v="80"/>
    <n v="0"/>
    <n v="0.11574074074074074"/>
    <n v="4.8"/>
    <s v="1034001A (12%)"/>
  </r>
  <r>
    <x v="13"/>
    <s v="EVM Motors &amp; Vehicles India Pvt Ltd"/>
    <x v="37"/>
    <n v="3346"/>
    <s v="India-II"/>
    <s v="Aarattuvazhi"/>
    <s v="Alappuzha"/>
    <s v="Ankit Gupta"/>
    <n v="100"/>
    <n v="80"/>
    <n v="0"/>
    <n v="0"/>
    <n v="100"/>
    <n v="0"/>
    <n v="280"/>
    <n v="5.0925925925925923E-2"/>
    <n v="4.8"/>
    <s v="1032802A (5%)"/>
  </r>
  <r>
    <x v="13"/>
    <s v="EVM Motors &amp; Vehicles India Pvt Ltd"/>
    <x v="38"/>
    <n v="3346"/>
    <s v="India-II"/>
    <s v="Palarivattom"/>
    <s v="Kochi"/>
    <s v="Ankit Gupta"/>
    <n v="100"/>
    <n v="0"/>
    <n v="0"/>
    <n v="0"/>
    <n v="80"/>
    <n v="80"/>
    <n v="260"/>
    <n v="7.8703703703703706E-2"/>
    <n v="4.7"/>
    <s v="1032803A (8%)"/>
  </r>
  <r>
    <x v="13"/>
    <s v="EVM Motors &amp; Vehicles India Pvt Ltd"/>
    <x v="39"/>
    <n v="3346"/>
    <s v="India-II"/>
    <s v="Indira Nagar"/>
    <s v="Kasargod"/>
    <s v="Ankit Gupta"/>
    <n v="100"/>
    <n v="0"/>
    <n v="0"/>
    <n v="50"/>
    <n v="0"/>
    <n v="100"/>
    <n v="0"/>
    <n v="3.7037037037037035E-2"/>
    <n v="5"/>
    <s v="2034003C (4%)"/>
  </r>
  <r>
    <x v="14"/>
    <s v="Excel Cars Pvt. Ltd."/>
    <x v="40"/>
    <n v="3343"/>
    <s v="India-I"/>
    <s v="Sector 32"/>
    <s v="Faridabad"/>
    <s v="Pratap C."/>
    <n v="100"/>
    <n v="100"/>
    <n v="50"/>
    <n v="50"/>
    <n v="100"/>
    <n v="80"/>
    <n v="480"/>
    <n v="1"/>
    <n v="4.8"/>
    <s v="10361 (100%)"/>
  </r>
  <r>
    <x v="15"/>
    <s v="Fatehpuria Motocorp Pvt Ltd "/>
    <x v="41"/>
    <n v="2688"/>
    <s v="India-I"/>
    <s v="IPIA"/>
    <s v="Kota"/>
    <s v="Pratap C."/>
    <n v="0"/>
    <n v="80"/>
    <n v="0"/>
    <n v="50"/>
    <n v="0"/>
    <n v="0"/>
    <n v="0"/>
    <n v="0.70270270270270274"/>
    <n v="4.7"/>
    <s v="10356 (70%)"/>
  </r>
  <r>
    <x v="15"/>
    <s v="Fatehpuria Motocorp Pvt Ltd "/>
    <x v="42"/>
    <n v="2688"/>
    <s v="India-I"/>
    <s v="Gaurav Path"/>
    <s v="Bhilwara"/>
    <s v="Pratap C."/>
    <n v="0"/>
    <n v="100"/>
    <n v="0"/>
    <n v="50"/>
    <n v="0"/>
    <n v="0"/>
    <n v="0"/>
    <n v="0.29729729729729731"/>
    <n v="4.7"/>
    <s v="1035601A (30%)"/>
  </r>
  <r>
    <x v="16"/>
    <s v="Frontier Cars India Pvt Ltd"/>
    <x v="43"/>
    <n v="3815"/>
    <s v="India-I"/>
    <s v="Devtal"/>
    <s v="Jabalpur"/>
    <s v="Sarat Chakraborty"/>
    <n v="0"/>
    <n v="0"/>
    <n v="0"/>
    <n v="50"/>
    <n v="80"/>
    <n v="0"/>
    <n v="0"/>
    <n v="0.73076923076923073"/>
    <n v="4.4000000000000004"/>
    <s v="10341 (73%)"/>
  </r>
  <r>
    <x v="16"/>
    <s v="Frontier Cars India Pvt Ltd"/>
    <x v="44"/>
    <n v="3815"/>
    <s v="India-I"/>
    <s v="Maihar Bypass Rd."/>
    <s v="Satna"/>
    <s v="Sarat Chakraborty"/>
    <n v="0"/>
    <n v="0"/>
    <n v="0"/>
    <n v="50"/>
    <n v="100"/>
    <n v="80"/>
    <n v="0"/>
    <n v="0.26923076923076922"/>
    <n v="3.8"/>
    <s v="1034101A (27%)"/>
  </r>
  <r>
    <x v="17"/>
    <s v="Garnet Motors (D) Pvt. Ltd."/>
    <x v="45"/>
    <n v="3766"/>
    <s v="India-I"/>
    <s v="Nerul"/>
    <s v="Navi Mumbai(Mumbai)"/>
    <s v="Sarat Chakraborty"/>
    <n v="100"/>
    <n v="80"/>
    <n v="0"/>
    <n v="0"/>
    <n v="80"/>
    <n v="80"/>
    <n v="340"/>
    <n v="0.48780487804878048"/>
    <n v="4.8"/>
    <s v="10399 (49%)"/>
  </r>
  <r>
    <x v="17"/>
    <s v="Garnet Motors (D) Pvt. Ltd."/>
    <x v="46"/>
    <n v="3766"/>
    <s v="India-I"/>
    <s v="Panvel"/>
    <s v="Panvel"/>
    <s v="Sarat Chakraborty"/>
    <n v="100"/>
    <n v="80"/>
    <n v="0"/>
    <n v="0"/>
    <n v="80"/>
    <n v="0"/>
    <n v="260"/>
    <n v="0.24390243902439024"/>
    <n v="4.8"/>
    <s v="1039901A (24%)"/>
  </r>
  <r>
    <x v="18"/>
    <s v="Garve Car Mania Pvt Ltd"/>
    <x v="47"/>
    <n v="2294"/>
    <s v="India-I"/>
    <s v="Bhandarkar Road"/>
    <s v="Pune"/>
    <s v="Sarat Chakraborty"/>
    <n v="100"/>
    <n v="100"/>
    <n v="0"/>
    <n v="40"/>
    <n v="100"/>
    <n v="100"/>
    <n v="440"/>
    <n v="0.49431818181818182"/>
    <n v="4.8"/>
    <s v="10322 (49%)"/>
  </r>
  <r>
    <x v="18"/>
    <s v="Garve Car Mania Pvt Ltd"/>
    <x v="48"/>
    <n v="2294"/>
    <s v="India-I"/>
    <s v="Pimple Gurav"/>
    <s v="Pune"/>
    <s v="Sarat Chakraborty"/>
    <n v="100"/>
    <n v="100"/>
    <n v="0"/>
    <n v="40"/>
    <n v="100"/>
    <n v="80"/>
    <n v="420"/>
    <n v="0.1875"/>
    <n v="4.9000000000000004"/>
    <s v="1032201A (19%)"/>
  </r>
  <r>
    <x v="18"/>
    <s v="Garve Car Mania Pvt Ltd"/>
    <x v="49"/>
    <n v="2294"/>
    <s v="India-I"/>
    <s v="Canatik"/>
    <s v="Ahmednagar"/>
    <s v="Sarat Chakraborty"/>
    <n v="100"/>
    <n v="80"/>
    <n v="0"/>
    <n v="40"/>
    <n v="100"/>
    <n v="100"/>
    <n v="420"/>
    <n v="9.6590909090909088E-2"/>
    <n v="5"/>
    <s v="1032202A (10%)"/>
  </r>
  <r>
    <x v="18"/>
    <s v="Garve Car Mania Pvt Ltd"/>
    <x v="50"/>
    <n v="2294"/>
    <s v="India-I"/>
    <s v="Tathawade"/>
    <s v="Pune"/>
    <s v="Sarat Chakraborty"/>
    <n v="100"/>
    <n v="100"/>
    <n v="0"/>
    <n v="40"/>
    <n v="100"/>
    <n v="80"/>
    <n v="420"/>
    <n v="0.22159090909090909"/>
    <n v="4.9000000000000004"/>
    <s v="1032203A (22%)"/>
  </r>
  <r>
    <x v="19"/>
    <s v="Gem Phoenix Auto Pvt Ltd"/>
    <x v="51"/>
    <n v="2266"/>
    <s v="India-II"/>
    <s v="Ponnani Road"/>
    <s v="Palakkad"/>
    <s v="Paresh Hegde"/>
    <n v="80"/>
    <n v="80"/>
    <n v="0"/>
    <n v="0"/>
    <n v="100"/>
    <n v="0"/>
    <n v="260"/>
    <n v="0.17647058823529413"/>
    <n v="4.8"/>
    <s v="2036601C (18%)"/>
  </r>
  <r>
    <x v="19"/>
    <s v="Gem Phoenix Auto Pvt Ltd"/>
    <x v="52"/>
    <n v="2266"/>
    <s v="India-II"/>
    <s v="Ramapuram"/>
    <s v="Malappuram"/>
    <s v="Paresh Hegde"/>
    <n v="80"/>
    <n v="80"/>
    <n v="0"/>
    <n v="0"/>
    <n v="100"/>
    <n v="80"/>
    <n v="340"/>
    <n v="0.16176470588235295"/>
    <n v="4.7"/>
    <s v="1036602A (16%)"/>
  </r>
  <r>
    <x v="19"/>
    <s v="Gem Phoenix Auto Pvt Ltd"/>
    <x v="53"/>
    <n v="2266"/>
    <s v="India-II"/>
    <s v="Chamravattam Road"/>
    <s v="Tirur"/>
    <s v="Paresh Hegde"/>
    <n v="0"/>
    <n v="0"/>
    <n v="0"/>
    <n v="0"/>
    <n v="100"/>
    <n v="100"/>
    <n v="200"/>
    <n v="0.11764705882352941"/>
    <n v="4.8"/>
    <s v="2036603C (12%)"/>
  </r>
  <r>
    <x v="19"/>
    <s v="Gem Phoenix Auto Pvt Ltd"/>
    <x v="54"/>
    <n v="2266"/>
    <s v="India-II"/>
    <s v="Thrissur"/>
    <s v="Thrissur"/>
    <s v="Paresh Hegde"/>
    <n v="100"/>
    <n v="100"/>
    <n v="0"/>
    <n v="0"/>
    <n v="100"/>
    <n v="100"/>
    <n v="400"/>
    <n v="0.54411764705882348"/>
    <n v="4.7"/>
    <s v="10366 (54%)"/>
  </r>
  <r>
    <x v="20"/>
    <s v="(Global) Fulcrum Autoline Pvt Ltd"/>
    <x v="55"/>
    <n v="3258"/>
    <s v="India-II"/>
    <s v="AJC Bose Road"/>
    <s v="Kolkata"/>
    <s v="Pradeep K"/>
    <n v="100"/>
    <n v="80"/>
    <n v="0"/>
    <n v="0"/>
    <n v="0"/>
    <n v="0"/>
    <n v="0"/>
    <n v="0"/>
    <n v="0"/>
    <s v="10425 (0%)"/>
  </r>
  <r>
    <x v="20"/>
    <s v="(Global) Fulcrum Autoline Pvt Ltd"/>
    <x v="56"/>
    <n v="3258"/>
    <s v="India-II"/>
    <s v="V.I.P Road "/>
    <s v="Kolkata"/>
    <s v="Pradeep K"/>
    <n v="100"/>
    <n v="80"/>
    <n v="0"/>
    <n v="0"/>
    <n v="0"/>
    <n v="80"/>
    <n v="0"/>
    <n v="0"/>
    <n v="0"/>
    <s v="1042501A (0%)"/>
  </r>
  <r>
    <x v="20"/>
    <s v="(Global) Fulcrum Autoline Pvt Ltd"/>
    <x v="57"/>
    <n v="3258"/>
    <s v="India-II"/>
    <s v="Kamrangu"/>
    <s v="Howrah"/>
    <s v="Pradeep K"/>
    <n v="0"/>
    <n v="0"/>
    <n v="0"/>
    <n v="0"/>
    <n v="0"/>
    <n v="80"/>
    <n v="0"/>
    <n v="0"/>
    <n v="0"/>
    <s v="1042503A (0%)"/>
  </r>
  <r>
    <x v="20"/>
    <s v="(Global) Fulcrum Autoline Pvt Ltd"/>
    <x v="58"/>
    <n v="3258"/>
    <s v="India-II"/>
    <s v="Sevoke Road"/>
    <s v="Siliguri"/>
    <s v="Pradeep K"/>
    <n v="0"/>
    <n v="100"/>
    <n v="0"/>
    <n v="0"/>
    <n v="0"/>
    <n v="0"/>
    <n v="0"/>
    <n v="0"/>
    <n v="0"/>
    <s v="1042502A (0%)"/>
  </r>
  <r>
    <x v="20"/>
    <s v="(Global) Fulcrum Autoline Pvt Ltd"/>
    <x v="59"/>
    <n v="3258"/>
    <s v="India-II"/>
    <s v="Khairasole"/>
    <s v="Durgapur"/>
    <s v="Pradeep K"/>
    <n v="0"/>
    <n v="80"/>
    <n v="0"/>
    <n v="0"/>
    <n v="0"/>
    <n v="80"/>
    <n v="0"/>
    <n v="0"/>
    <n v="0"/>
    <s v="2042504C (0%)"/>
  </r>
  <r>
    <x v="21"/>
    <s v="Gurudev Motors Pvt. Ltd"/>
    <x v="60"/>
    <n v="1453"/>
    <s v="India-II"/>
    <s v="Ambattur"/>
    <s v="Chennai"/>
    <s v="Jobin Mathew"/>
    <n v="100"/>
    <n v="0"/>
    <n v="0"/>
    <n v="50"/>
    <n v="100"/>
    <n v="80"/>
    <n v="0"/>
    <n v="0.26896551724137929"/>
    <n v="4.5999999999999996"/>
    <s v="23039 (27%)"/>
  </r>
  <r>
    <x v="21"/>
    <s v="Gurudev Motors Pvt. Ltd"/>
    <x v="61"/>
    <n v="1453"/>
    <s v="India-II"/>
    <s v="Ganapathy Nagar"/>
    <s v="Trichy"/>
    <s v="Jobin Mathew"/>
    <n v="100"/>
    <n v="100"/>
    <n v="0"/>
    <n v="0"/>
    <n v="100"/>
    <n v="80"/>
    <n v="0"/>
    <n v="0.1103448275862069"/>
    <n v="4.5999999999999996"/>
    <s v="10118 (11%)"/>
  </r>
  <r>
    <x v="21"/>
    <s v="Gurudev Motors Pvt. Ltd"/>
    <x v="62"/>
    <n v="1453"/>
    <s v="India-II"/>
    <s v="Perumugai"/>
    <s v="Vellore"/>
    <s v="Jobin Mathew"/>
    <n v="100"/>
    <n v="80"/>
    <n v="50"/>
    <n v="50"/>
    <n v="80"/>
    <n v="80"/>
    <n v="440"/>
    <n v="7.586206896551724E-2"/>
    <n v="4.7"/>
    <s v="20061 (8%)"/>
  </r>
  <r>
    <x v="21"/>
    <s v="Gurudev Motors Pvt. Ltd"/>
    <x v="63"/>
    <n v="1453"/>
    <s v="India-II"/>
    <s v="Pudukottai Road"/>
    <s v="Thanjavur"/>
    <s v="Jobin Mathew"/>
    <n v="100"/>
    <n v="100"/>
    <n v="0"/>
    <n v="0"/>
    <n v="100"/>
    <n v="0"/>
    <n v="300"/>
    <n v="6.8965517241379309E-2"/>
    <n v="4.8"/>
    <s v="1011801C (7%)"/>
  </r>
  <r>
    <x v="21"/>
    <s v="Gurudev Motors Pvt. Ltd"/>
    <x v="64"/>
    <n v="1453"/>
    <s v="India-II"/>
    <s v="Kattupakkam"/>
    <s v="Chennai"/>
    <s v="Jobin Mathew"/>
    <n v="100"/>
    <n v="0"/>
    <n v="0"/>
    <n v="50"/>
    <n v="80"/>
    <n v="80"/>
    <n v="310"/>
    <n v="0.1103448275862069"/>
    <n v="4.8"/>
    <s v="2303901A (11%)"/>
  </r>
  <r>
    <x v="21"/>
    <s v="Gurudev Motors Pvt. Ltd"/>
    <x v="65"/>
    <n v="1453"/>
    <s v="India-II"/>
    <s v="Anna Nagar"/>
    <s v="Chennai"/>
    <s v="Jobin Mathew"/>
    <n v="100"/>
    <n v="80"/>
    <n v="0"/>
    <n v="50"/>
    <n v="80"/>
    <n v="80"/>
    <n v="390"/>
    <n v="0.13793103448275862"/>
    <n v="4.8"/>
    <s v="2003901A (14%)"/>
  </r>
  <r>
    <x v="21"/>
    <s v="Gurudev Motors Pvt. Ltd"/>
    <x v="66"/>
    <n v="1453"/>
    <s v="India-II"/>
    <s v="Teynampet"/>
    <s v="Chennai"/>
    <s v="Jobin Mathew"/>
    <n v="100"/>
    <n v="0"/>
    <n v="0"/>
    <n v="50"/>
    <n v="0"/>
    <n v="80"/>
    <n v="0"/>
    <n v="0.22758620689655173"/>
    <n v="4.7"/>
    <s v="20039 (23%)"/>
  </r>
  <r>
    <x v="22"/>
    <s v="HD Autowheels Pvt. Ltd."/>
    <x v="67"/>
    <n v="3420"/>
    <s v="India-I"/>
    <s v="Amritsar"/>
    <s v="Amritsar"/>
    <s v="Harsh Rajan"/>
    <n v="100"/>
    <n v="100"/>
    <n v="50"/>
    <n v="50"/>
    <n v="100"/>
    <n v="80"/>
    <n v="480"/>
    <n v="1"/>
    <n v="5"/>
    <s v="10377 (100%)"/>
  </r>
  <r>
    <x v="23"/>
    <s v="Imperial 3S Jamshedpur "/>
    <x v="68"/>
    <n v="2466"/>
    <s v="India-II"/>
    <s v="Adityapur"/>
    <s v="Jamshedpur"/>
    <s v="Tobruk Bhan"/>
    <n v="0"/>
    <n v="0"/>
    <n v="40"/>
    <n v="50"/>
    <n v="80"/>
    <n v="0"/>
    <n v="0"/>
    <n v="1"/>
    <n v="4.0999999999999996"/>
    <s v="10082 (100%)"/>
  </r>
  <r>
    <x v="24"/>
    <s v="Jai Auto Vehicles Pvt Ltd"/>
    <x v="69"/>
    <n v="2452"/>
    <s v="India-I"/>
    <s v="Dwarka"/>
    <s v="New Delhi"/>
    <s v="Dinesh Bhatia"/>
    <n v="80"/>
    <n v="80"/>
    <n v="50"/>
    <n v="50"/>
    <n v="100"/>
    <n v="80"/>
    <n v="440"/>
    <n v="9.2682926829268292E-2"/>
    <n v="4.8"/>
    <s v="1028101A (9%)"/>
  </r>
  <r>
    <x v="24"/>
    <s v="Jai Auto Vehicles Pvt Ltd"/>
    <x v="70"/>
    <n v="2452"/>
    <s v="India-I"/>
    <s v="Sohna Road"/>
    <s v="Gurugram"/>
    <s v="Dinesh Bhatia"/>
    <n v="100"/>
    <n v="100"/>
    <n v="50"/>
    <n v="0"/>
    <n v="100"/>
    <n v="80"/>
    <n v="430"/>
    <n v="0.14146341463414633"/>
    <n v="4.9000000000000004"/>
    <s v="2027701A (14%)"/>
  </r>
  <r>
    <x v="24"/>
    <s v="Jai Auto Vehicles Pvt Ltd"/>
    <x v="71"/>
    <n v="2452"/>
    <s v="India-I"/>
    <s v="South Delhi"/>
    <s v="New Delhi"/>
    <s v="Dinesh Bhatia"/>
    <n v="100"/>
    <n v="100"/>
    <n v="50"/>
    <n v="50"/>
    <n v="100"/>
    <n v="80"/>
    <n v="0"/>
    <n v="0.38536585365853659"/>
    <n v="4.8"/>
    <s v="10281 (39%)"/>
  </r>
  <r>
    <x v="24"/>
    <s v="Jai Auto Vehicles Pvt Ltd"/>
    <x v="72"/>
    <n v="2452"/>
    <s v="India-I"/>
    <s v="Sector 15"/>
    <s v="Gurugram"/>
    <s v="Dinesh Bhatia"/>
    <n v="80"/>
    <n v="80"/>
    <n v="50"/>
    <n v="0"/>
    <n v="100"/>
    <n v="0"/>
    <n v="0"/>
    <n v="0.38048780487804879"/>
    <n v="4.7"/>
    <s v="20277 (38%)"/>
  </r>
  <r>
    <x v="25"/>
    <s v="K Cube Motors LLP"/>
    <x v="73"/>
    <n v="1757"/>
    <s v="India-II"/>
    <s v="Naharlagun"/>
    <s v="Itanagar"/>
    <s v="Tobruk Bhan"/>
    <n v="0"/>
    <n v="0"/>
    <n v="0"/>
    <n v="0"/>
    <n v="0"/>
    <n v="80"/>
    <n v="0"/>
    <n v="1"/>
    <n v="4.7"/>
    <s v="10397 (100%)"/>
  </r>
  <r>
    <x v="26"/>
    <s v="Krishna Auto Sales "/>
    <x v="74"/>
    <n v="1094"/>
    <s v="India-I"/>
    <s v="Industrial Area, Phase-I"/>
    <s v="Chandigarh"/>
    <s v="Harsh Rajan"/>
    <n v="100"/>
    <n v="100"/>
    <n v="0"/>
    <n v="50"/>
    <n v="100"/>
    <n v="100"/>
    <n v="450"/>
    <n v="0.33333333333333331"/>
    <n v="4.7"/>
    <s v="10016 (33%)"/>
  </r>
  <r>
    <x v="26"/>
    <s v="Krishna Auto Sales "/>
    <x v="75"/>
    <n v="1094"/>
    <s v="India-I"/>
    <s v="Kapurthala"/>
    <s v="Jalandhar"/>
    <s v="Harsh Rajan"/>
    <n v="100"/>
    <n v="100"/>
    <n v="0"/>
    <n v="50"/>
    <n v="100"/>
    <n v="0"/>
    <n v="350"/>
    <n v="0.2318840579710145"/>
    <n v="4.8"/>
    <s v="10018 (23%)"/>
  </r>
  <r>
    <x v="26"/>
    <s v="Krishna Auto Sales "/>
    <x v="76"/>
    <n v="1094"/>
    <s v="India-I"/>
    <s v="Dhandari Kalan"/>
    <s v="Ludhiana"/>
    <s v="Harsh Rajan"/>
    <n v="80"/>
    <n v="100"/>
    <n v="50"/>
    <n v="50"/>
    <n v="100"/>
    <n v="80"/>
    <n v="460"/>
    <n v="0.2318840579710145"/>
    <n v="4.8"/>
    <s v="10017 (23%)"/>
  </r>
  <r>
    <x v="27"/>
    <s v="Kun Motor Enterprises Pvt Ltd"/>
    <x v="77"/>
    <n v="1515"/>
    <s v="India-II"/>
    <s v="Nandanam"/>
    <s v="Chennai"/>
    <s v="Jobin Mathew"/>
    <n v="100"/>
    <n v="100"/>
    <n v="0"/>
    <n v="50"/>
    <n v="100"/>
    <n v="0"/>
    <n v="350"/>
    <n v="0.15827338129496402"/>
    <n v="4.9000000000000004"/>
    <s v="1035401A (16%)"/>
  </r>
  <r>
    <x v="27"/>
    <s v="Kun Motor Enterprises Pvt Ltd"/>
    <x v="78"/>
    <n v="1515"/>
    <s v="India-II"/>
    <s v="Guduvanchery"/>
    <s v="Chennai"/>
    <s v="Jobin Mathew"/>
    <n v="100"/>
    <n v="80"/>
    <n v="0"/>
    <n v="50"/>
    <n v="100"/>
    <n v="0"/>
    <n v="330"/>
    <n v="0.1366906474820144"/>
    <n v="4.9000000000000004"/>
    <s v="2035402C (14%)"/>
  </r>
  <r>
    <x v="27"/>
    <s v="Kun Motor Enterprises Pvt Ltd"/>
    <x v="79"/>
    <n v="1515"/>
    <s v="India-II"/>
    <s v="Pachaiyankuppam"/>
    <s v="Cuddalore"/>
    <s v="Jobin Mathew"/>
    <n v="80"/>
    <n v="100"/>
    <n v="0"/>
    <n v="50"/>
    <n v="100"/>
    <n v="100"/>
    <n v="430"/>
    <n v="7.9136690647482008E-2"/>
    <n v="4.9000000000000004"/>
    <s v="1035403A (8%)"/>
  </r>
  <r>
    <x v="27"/>
    <s v="Kun Motor Enterprises Pvt Ltd"/>
    <x v="80"/>
    <n v="1515"/>
    <s v="India-II"/>
    <s v="ECR Road"/>
    <s v="Pondicherry"/>
    <s v="Jobin Mathew"/>
    <n v="100"/>
    <n v="100"/>
    <n v="40"/>
    <n v="50"/>
    <n v="80"/>
    <n v="0"/>
    <n v="370"/>
    <n v="0.21582733812949639"/>
    <n v="4.9000000000000004"/>
    <s v="10348 (22%)"/>
  </r>
  <r>
    <x v="27"/>
    <s v="Kun Motor Enterprises Pvt Ltd"/>
    <x v="81"/>
    <n v="1515"/>
    <s v="India-II"/>
    <s v="OMR"/>
    <s v="Chennai"/>
    <s v="Jobin Mathew"/>
    <n v="100"/>
    <n v="100"/>
    <n v="0"/>
    <n v="50"/>
    <n v="80"/>
    <n v="0"/>
    <n v="330"/>
    <n v="0.41007194244604317"/>
    <n v="4.7"/>
    <s v="10354 (41%)"/>
  </r>
  <r>
    <x v="28"/>
    <s v="Mahavir Auto  Diagnostics Pvt. Ltd_AP"/>
    <x v="82"/>
    <n v="2144"/>
    <s v="India-II"/>
    <s v="Marripalem"/>
    <s v="Vishakhapatnam"/>
    <s v="Ankit Gupta"/>
    <n v="100"/>
    <n v="100"/>
    <n v="0"/>
    <n v="0"/>
    <n v="80"/>
    <n v="0"/>
    <n v="280"/>
    <n v="0.34234234234234234"/>
    <n v="4.7"/>
    <s v="22012 (34%)"/>
  </r>
  <r>
    <x v="28"/>
    <s v="Mahavir Auto  Diagnostics Pvt. Ltd_AP"/>
    <x v="83"/>
    <n v="2144"/>
    <s v="India-II"/>
    <s v="Vijayawada"/>
    <s v="Vijayawada"/>
    <s v="Ankit Gupta"/>
    <n v="80"/>
    <n v="100"/>
    <n v="50"/>
    <n v="50"/>
    <n v="100"/>
    <n v="80"/>
    <n v="460"/>
    <n v="0.29729729729729731"/>
    <n v="4.7"/>
    <s v="26012 (30%)"/>
  </r>
  <r>
    <x v="28"/>
    <s v="Mahavir Auto  Diagnostics Pvt. Ltd_AP"/>
    <x v="84"/>
    <n v="2144"/>
    <s v="India-II"/>
    <s v="Nawabpetta"/>
    <s v="Nellore"/>
    <s v="Ankit Gupta"/>
    <n v="80"/>
    <n v="100"/>
    <n v="0"/>
    <n v="50"/>
    <n v="100"/>
    <n v="80"/>
    <n v="410"/>
    <n v="0.10810810810810811"/>
    <n v="4.7"/>
    <s v="2601202C (11%)"/>
  </r>
  <r>
    <x v="28"/>
    <s v="Mahavir Auto  Diagnostics Pvt. Ltd_AP"/>
    <x v="85"/>
    <n v="2144"/>
    <s v="India-II"/>
    <s v="FCI Godowns"/>
    <s v="Rajamahendravaram"/>
    <s v="Ankit Gupta"/>
    <n v="0"/>
    <n v="100"/>
    <n v="0"/>
    <n v="0"/>
    <n v="80"/>
    <n v="0"/>
    <n v="180"/>
    <n v="9.90990990990991E-2"/>
    <n v="4.9000000000000004"/>
    <s v="2201203C (10%)"/>
  </r>
  <r>
    <x v="28"/>
    <s v="Mahavir Auto  Diagnostics Pvt. Ltd_AP"/>
    <x v="86"/>
    <n v="2144"/>
    <s v="India-II"/>
    <s v="Autonagar"/>
    <s v="Guntur"/>
    <s v="Ankit Gupta"/>
    <n v="100"/>
    <n v="100"/>
    <n v="0"/>
    <n v="50"/>
    <n v="80"/>
    <n v="0"/>
    <n v="330"/>
    <n v="0.15315315315315314"/>
    <n v="4.9000000000000004"/>
    <s v="2601204C (15%)"/>
  </r>
  <r>
    <x v="29"/>
    <s v="Mahavir Auto  Diagnostics Pvt. Ltd_TL"/>
    <x v="87"/>
    <n v="3338"/>
    <s v="India-II"/>
    <s v="Bowenpally"/>
    <s v="Secunderabad"/>
    <s v="Ankit Gupta"/>
    <n v="100"/>
    <n v="100"/>
    <n v="0"/>
    <n v="50"/>
    <n v="80"/>
    <n v="80"/>
    <n v="410"/>
    <n v="0.18852459016393441"/>
    <n v="4.9000000000000004"/>
    <s v="1001201A (19%)"/>
  </r>
  <r>
    <x v="29"/>
    <s v="Mahavir Auto  Diagnostics Pvt. Ltd_TL"/>
    <x v="88"/>
    <n v="3338"/>
    <s v="India-II"/>
    <s v="Hunter Road"/>
    <s v="Warangal"/>
    <s v="Ankit Gupta"/>
    <n v="80"/>
    <n v="100"/>
    <n v="0"/>
    <n v="50"/>
    <n v="100"/>
    <n v="0"/>
    <n v="330"/>
    <n v="0.12295081967213115"/>
    <n v="5"/>
    <s v="1001202A (12%)"/>
  </r>
  <r>
    <x v="29"/>
    <s v="Mahavir Auto  Diagnostics Pvt. Ltd_TL"/>
    <x v="89"/>
    <n v="3338"/>
    <s v="India-II"/>
    <s v="Jubilee Hills"/>
    <s v="Hyderabad"/>
    <s v="Ankit Gupta"/>
    <n v="100"/>
    <n v="100"/>
    <n v="0"/>
    <n v="50"/>
    <n v="100"/>
    <n v="0"/>
    <n v="350"/>
    <n v="0.36885245901639346"/>
    <n v="4.7"/>
    <s v="10208 (37%)"/>
  </r>
  <r>
    <x v="29"/>
    <s v="Mahavir Auto  Diagnostics Pvt. Ltd_TL"/>
    <x v="90"/>
    <n v="3338"/>
    <s v="India-II"/>
    <s v="Somajiguda"/>
    <s v="Hyderabad"/>
    <s v="Ankit Gupta"/>
    <n v="100"/>
    <n v="100"/>
    <n v="50"/>
    <n v="50"/>
    <n v="100"/>
    <n v="0"/>
    <n v="400"/>
    <n v="0.31967213114754101"/>
    <n v="4.7"/>
    <s v="10012 (32%)"/>
  </r>
  <r>
    <x v="30"/>
    <s v="Ring Road Motocorp Pvt Ltd"/>
    <x v="91"/>
    <n v="2496"/>
    <s v="India-I"/>
    <s v="Golf Course Road"/>
    <s v="Gurugram"/>
    <s v="Harsh Rajan"/>
    <n v="80"/>
    <n v="100"/>
    <n v="50"/>
    <n v="50"/>
    <n v="100"/>
    <n v="80"/>
    <n v="460"/>
    <n v="0.56692913385826771"/>
    <n v="4.8"/>
    <s v="10359 (57%)"/>
  </r>
  <r>
    <x v="30"/>
    <s v="Ring Road Motocorp Pvt Ltd"/>
    <x v="92"/>
    <n v="2496"/>
    <s v="India-I"/>
    <s v="Paschim Vihar"/>
    <s v="New Delhi"/>
    <s v="Harsh Rajan"/>
    <n v="100"/>
    <n v="100"/>
    <n v="50"/>
    <n v="0"/>
    <n v="80"/>
    <n v="80"/>
    <n v="410"/>
    <n v="0.43307086614173229"/>
    <n v="4.8"/>
    <s v="10363 (43%)"/>
  </r>
  <r>
    <x v="31"/>
    <s v="MM Auto Sales Pvt Ltd."/>
    <x v="93"/>
    <n v="2958"/>
    <s v="India-II"/>
    <s v="Haraya"/>
    <s v="Gorakhpur"/>
    <s v="Chirag Khanna"/>
    <n v="100"/>
    <n v="100"/>
    <n v="0"/>
    <n v="0"/>
    <n v="100"/>
    <n v="0"/>
    <n v="0"/>
    <n v="0.65517241379310343"/>
    <n v="4.8"/>
    <s v="10393 (66%)"/>
  </r>
  <r>
    <x v="32"/>
    <s v="Mody India Cars Pvt Ltd_MH"/>
    <x v="94"/>
    <n v="2515"/>
    <s v="India-I"/>
    <s v="Worli"/>
    <s v="Mumbai"/>
    <s v="Sarat Chakraborty"/>
    <n v="100"/>
    <n v="100"/>
    <n v="0"/>
    <n v="50"/>
    <n v="100"/>
    <n v="0"/>
    <n v="350"/>
    <n v="0.44262295081967212"/>
    <n v="4.9000000000000004"/>
    <s v="10345 (44%)"/>
  </r>
  <r>
    <x v="32"/>
    <s v="Mody India Cars Pvt Ltd_MH"/>
    <x v="95"/>
    <n v="2515"/>
    <s v="India-I"/>
    <s v="Andheri (West)"/>
    <s v="Mumbai"/>
    <s v="Sarat Chakraborty"/>
    <n v="100"/>
    <n v="80"/>
    <n v="50"/>
    <n v="50"/>
    <n v="80"/>
    <n v="80"/>
    <n v="440"/>
    <n v="0.34426229508196721"/>
    <n v="4.8"/>
    <s v="10357 (34%)"/>
  </r>
  <r>
    <x v="32"/>
    <s v="Mody India Cars Pvt Ltd_MH"/>
    <x v="96"/>
    <n v="2515"/>
    <s v="India-I"/>
    <s v="Chembur (West)"/>
    <s v="Mumbai"/>
    <s v="Sarat Chakraborty"/>
    <n v="100"/>
    <n v="100"/>
    <n v="0"/>
    <n v="50"/>
    <n v="100"/>
    <n v="0"/>
    <n v="350"/>
    <n v="0.21311475409836064"/>
    <n v="4.9000000000000004"/>
    <s v="1035701A (21%)"/>
  </r>
  <r>
    <x v="33"/>
    <s v="Mody India Cars Pvt Ltd_TL"/>
    <x v="97"/>
    <n v="3117"/>
    <s v="India-II"/>
    <s v="Nagole"/>
    <s v="Hyderabad"/>
    <s v="Paresh Hegde"/>
    <n v="100"/>
    <n v="0"/>
    <n v="40"/>
    <n v="50"/>
    <n v="100"/>
    <n v="80"/>
    <n v="370"/>
    <n v="0.53846153846153844"/>
    <n v="4.9000000000000004"/>
    <s v="10368 (54%)"/>
  </r>
  <r>
    <x v="33"/>
    <s v="Mody India Cars Pvt Ltd_TL"/>
    <x v="98"/>
    <n v="3117"/>
    <s v="India-II"/>
    <s v="Kothirampur"/>
    <s v="Karimnagar"/>
    <s v="Paresh Hegde"/>
    <n v="100"/>
    <n v="100"/>
    <n v="40"/>
    <n v="50"/>
    <n v="100"/>
    <n v="0"/>
    <n v="390"/>
    <n v="0.17948717948717949"/>
    <n v="5"/>
    <s v="2036801C (18%)"/>
  </r>
  <r>
    <x v="33"/>
    <s v="Mody India Cars Pvt Ltd_TL"/>
    <x v="99"/>
    <n v="3117"/>
    <s v="India-II"/>
    <s v="Attapur"/>
    <s v="Hyderabad"/>
    <s v="Paresh Hegde"/>
    <n v="100"/>
    <n v="100"/>
    <n v="40"/>
    <n v="50"/>
    <n v="80"/>
    <n v="0"/>
    <n v="370"/>
    <n v="0.17948717948717949"/>
    <n v="4.9000000000000004"/>
    <s v="2036802C (18%)"/>
  </r>
  <r>
    <x v="34"/>
    <s v="Moharir Motors Pvt. Ltd"/>
    <x v="100"/>
    <n v="1367"/>
    <s v="India-I"/>
    <s v="Rajendra Nagar"/>
    <s v="Nasik"/>
    <s v="Nishant Sinha"/>
    <s v="-"/>
    <s v="-"/>
    <s v="-"/>
    <s v="-"/>
    <s v="-"/>
    <s v="-"/>
    <n v="0"/>
    <n v="0"/>
    <n v="0"/>
    <s v="10370 (0%)"/>
  </r>
  <r>
    <x v="34"/>
    <s v="Moharir Motors Pvt. Ltd"/>
    <x v="101"/>
    <n v="1367"/>
    <s v="India-I"/>
    <s v="Ajanta Road"/>
    <s v="Jalgaon"/>
    <s v="Nishant Sinha"/>
    <s v="-"/>
    <s v="-"/>
    <s v="-"/>
    <s v="-"/>
    <s v="-"/>
    <s v="-"/>
    <n v="0"/>
    <n v="0"/>
    <n v="0"/>
    <s v="1037001C (0%)"/>
  </r>
  <r>
    <x v="34"/>
    <s v="Moharir Motors Pvt. Ltd"/>
    <x v="102"/>
    <n v="1367"/>
    <s v="India-I"/>
    <s v="Avdhan"/>
    <s v="Dhule"/>
    <s v="Nishant Sinha"/>
    <s v="-"/>
    <s v="-"/>
    <s v="-"/>
    <s v="-"/>
    <s v="-"/>
    <s v="-"/>
    <n v="0"/>
    <n v="0"/>
    <n v="0"/>
    <s v="1037002C (0%)"/>
  </r>
  <r>
    <x v="35"/>
    <s v="Pal Prateek Automobile LLP"/>
    <x v="103"/>
    <n v="1595"/>
    <s v="India-I"/>
    <s v="Dewalchour"/>
    <s v="Haldwani"/>
    <s v="Dinesh Bhatia"/>
    <n v="100"/>
    <n v="80"/>
    <n v="50"/>
    <n v="50"/>
    <n v="100"/>
    <n v="80"/>
    <n v="460"/>
    <n v="0.63414634146341464"/>
    <n v="5"/>
    <s v="10387 (63%)"/>
  </r>
  <r>
    <x v="35"/>
    <s v="Pal Prateek Automobile LLP"/>
    <x v="104"/>
    <n v="1595"/>
    <s v="India-I"/>
    <s v="Awas Vikas"/>
    <s v="Rudrapur"/>
    <s v="Dinesh Bhatia"/>
    <n v="80"/>
    <n v="100"/>
    <n v="50"/>
    <n v="50"/>
    <n v="100"/>
    <n v="80"/>
    <n v="460"/>
    <n v="0.36585365853658536"/>
    <n v="4.9000000000000004"/>
    <s v="1038701A (37%)"/>
  </r>
  <r>
    <x v="36"/>
    <s v="Patni Autoventures LLP"/>
    <x v="105"/>
    <n v="2100"/>
    <s v="India-I"/>
    <s v="Central MIDC"/>
    <s v="Nagpur"/>
    <s v="Nishant Sinha"/>
    <n v="80"/>
    <n v="100"/>
    <n v="50"/>
    <n v="0"/>
    <n v="100"/>
    <n v="0"/>
    <n v="330"/>
    <n v="0.56122448979591832"/>
    <n v="4.8"/>
    <s v="10378 (56%)"/>
  </r>
  <r>
    <x v="36"/>
    <s v="Patni Autoventures LLP"/>
    <x v="106"/>
    <n v="2100"/>
    <s v="India-I"/>
    <s v="Sai Nagar"/>
    <s v="Amravati"/>
    <s v="Nishant Sinha"/>
    <n v="80"/>
    <n v="100"/>
    <n v="50"/>
    <n v="0"/>
    <n v="0"/>
    <n v="100"/>
    <n v="0"/>
    <n v="0.20408163265306123"/>
    <n v="4.9000000000000004"/>
    <s v="1037801A (20%)"/>
  </r>
  <r>
    <x v="36"/>
    <s v="Patni Autoventures LLP"/>
    <x v="107"/>
    <n v="2100"/>
    <s v="India-I"/>
    <s v="Yashwant Nagar"/>
    <s v="Chandrapur"/>
    <s v="Nishant Sinha"/>
    <n v="100"/>
    <n v="80"/>
    <n v="50"/>
    <n v="0"/>
    <n v="100"/>
    <n v="0"/>
    <n v="330"/>
    <n v="0.10204081632653061"/>
    <n v="4.9000000000000004"/>
    <s v="2037802C (10%)"/>
  </r>
  <r>
    <x v="37"/>
    <s v="PPS Motors Pvt Ltd_AP"/>
    <x v="108"/>
    <n v="1582"/>
    <s v="India-II"/>
    <s v="Renigunta Road"/>
    <s v="Tirupati"/>
    <s v="Kiran Hareendran"/>
    <n v="100"/>
    <n v="100"/>
    <n v="50"/>
    <n v="50"/>
    <n v="80"/>
    <n v="80"/>
    <n v="460"/>
    <n v="0.48571428571428571"/>
    <n v="4.9000000000000004"/>
    <s v="10371 (49%)"/>
  </r>
  <r>
    <x v="37"/>
    <s v="PPS Motors Pvt Ltd_AP"/>
    <x v="109"/>
    <n v="1582"/>
    <s v="India-II"/>
    <s v="Kallur Village"/>
    <s v="Kurnool"/>
    <s v="Kiran Hareendran"/>
    <n v="100"/>
    <n v="80"/>
    <n v="50"/>
    <n v="50"/>
    <n v="100"/>
    <n v="80"/>
    <n v="460"/>
    <n v="0.25714285714285712"/>
    <n v="4.9000000000000004"/>
    <s v="2037101C (26%)"/>
  </r>
  <r>
    <x v="37"/>
    <s v="PPS Motors Pvt Ltd_AP"/>
    <x v="110"/>
    <n v="1582"/>
    <s v="India-II"/>
    <s v="Bengaluru Road"/>
    <s v="Ananthpur"/>
    <s v="Kiran Hareendran"/>
    <n v="100"/>
    <n v="80"/>
    <n v="50"/>
    <n v="50"/>
    <n v="100"/>
    <n v="80"/>
    <n v="460"/>
    <n v="0.25714285714285712"/>
    <n v="4.8"/>
    <s v="2037102C (26%)"/>
  </r>
  <r>
    <x v="38"/>
    <s v="PPS Motors Pvt Ltd_KA"/>
    <x v="111"/>
    <n v="1690"/>
    <s v="India-II"/>
    <s v="Sadashivnagar"/>
    <s v="Bengaluru"/>
    <s v="Kiran Hareendran"/>
    <n v="100"/>
    <n v="0"/>
    <n v="0"/>
    <n v="50"/>
    <n v="0"/>
    <n v="80"/>
    <n v="0"/>
    <n v="0.17209302325581396"/>
    <n v="4.7"/>
    <s v="10339 (17%)"/>
  </r>
  <r>
    <x v="38"/>
    <s v="PPS Motors Pvt Ltd_KA"/>
    <x v="112"/>
    <n v="1690"/>
    <s v="India-II"/>
    <s v="New Airport Rd"/>
    <s v="Bengaluru"/>
    <s v="Kiran Hareendran"/>
    <n v="100"/>
    <n v="100"/>
    <n v="0"/>
    <n v="0"/>
    <n v="80"/>
    <n v="0"/>
    <n v="280"/>
    <n v="0.19069767441860466"/>
    <n v="4.8"/>
    <s v="10347 (19%)"/>
  </r>
  <r>
    <x v="38"/>
    <s v="PPS Motors Pvt Ltd_KA"/>
    <x v="113"/>
    <n v="1690"/>
    <s v="India-II"/>
    <s v="Sira-Tumkur Road"/>
    <s v="Tumkur"/>
    <s v="Kiran Hareendran"/>
    <n v="100"/>
    <n v="0"/>
    <n v="0"/>
    <n v="50"/>
    <n v="100"/>
    <n v="80"/>
    <n v="330"/>
    <n v="4.1860465116279069E-2"/>
    <n v="4.8"/>
    <s v="2033901C (4%)"/>
  </r>
  <r>
    <x v="38"/>
    <s v="PPS Motors Pvt Ltd_KA"/>
    <x v="114"/>
    <n v="1690"/>
    <s v="India-II"/>
    <s v="Ananthpur Road"/>
    <s v="Bellary"/>
    <s v="Kiran Hareendran"/>
    <n v="100"/>
    <n v="0"/>
    <n v="0"/>
    <n v="50"/>
    <n v="100"/>
    <n v="0"/>
    <n v="250"/>
    <n v="4.1860465116279069E-2"/>
    <n v="4.9000000000000004"/>
    <s v="2033903C (4%)"/>
  </r>
  <r>
    <x v="38"/>
    <s v="PPS Motors Pvt Ltd_KA"/>
    <x v="115"/>
    <n v="1690"/>
    <s v="India-II"/>
    <s v="Humnabad Road"/>
    <s v="Kalaburagi"/>
    <s v="Kiran Hareendran"/>
    <n v="100"/>
    <n v="0"/>
    <n v="0"/>
    <n v="50"/>
    <n v="100"/>
    <n v="80"/>
    <n v="330"/>
    <n v="3.7209302325581395E-2"/>
    <n v="4.7"/>
    <s v="2033904C (4%)"/>
  </r>
  <r>
    <x v="38"/>
    <s v="PPS Motors Pvt Ltd_KA"/>
    <x v="116"/>
    <n v="1690"/>
    <s v="India-II"/>
    <s v="Mysore Road"/>
    <s v="Bengaluru"/>
    <s v="Kiran Hareendran"/>
    <n v="100"/>
    <n v="100"/>
    <n v="0"/>
    <n v="50"/>
    <n v="80"/>
    <n v="0"/>
    <n v="330"/>
    <n v="0.19069767441860466"/>
    <n v="4.8"/>
    <s v="2033902C (19%)"/>
  </r>
  <r>
    <x v="38"/>
    <s v="PPS Motors Pvt Ltd_KA"/>
    <x v="117"/>
    <n v="1690"/>
    <s v="India-II"/>
    <s v="Kalyan Nagar"/>
    <s v="Bengaluru"/>
    <s v="Kiran Hareendran"/>
    <n v="100"/>
    <n v="100"/>
    <n v="0"/>
    <n v="0"/>
    <n v="100"/>
    <n v="80"/>
    <n v="380"/>
    <n v="0.18604651162790697"/>
    <n v="4.8"/>
    <s v="1034701A (19%)"/>
  </r>
  <r>
    <x v="38"/>
    <s v="PPS Motors Pvt Ltd_KA"/>
    <x v="118"/>
    <n v="1690"/>
    <s v="India-II"/>
    <s v="Rajaji Nagar"/>
    <s v="Bengaluru"/>
    <s v="Kiran Hareendran"/>
    <n v="100"/>
    <n v="80"/>
    <n v="0"/>
    <n v="50"/>
    <n v="100"/>
    <n v="80"/>
    <n v="410"/>
    <n v="0.13953488372093023"/>
    <n v="4.9000000000000004"/>
    <s v="1033905A (14%)"/>
  </r>
  <r>
    <x v="39"/>
    <s v="PPS Motors Pvt Ltd_Kerala"/>
    <x v="119"/>
    <n v="3027"/>
    <s v="India-II"/>
    <s v="N H Bypass"/>
    <s v="Thiruvananthapuram"/>
    <s v="Kiran Hareendran"/>
    <n v="100"/>
    <n v="100"/>
    <n v="50"/>
    <n v="50"/>
    <n v="80"/>
    <n v="80"/>
    <n v="0"/>
    <n v="0.66176470588235292"/>
    <n v="4.8"/>
    <s v="10381 (66%)"/>
  </r>
  <r>
    <x v="39"/>
    <s v="PPS Motors Pvt Ltd_Kerala"/>
    <x v="120"/>
    <n v="3027"/>
    <s v="India-II"/>
    <s v="Bypass Road"/>
    <s v="Kollam"/>
    <s v="Kiran Hareendran"/>
    <n v="0"/>
    <n v="80"/>
    <n v="50"/>
    <n v="0"/>
    <n v="100"/>
    <n v="100"/>
    <n v="0"/>
    <n v="0.33823529411764708"/>
    <n v="4.7"/>
    <s v="10382 (34%)"/>
  </r>
  <r>
    <x v="40"/>
    <s v="PPS Motors Pvt Ltd_TL"/>
    <x v="121"/>
    <n v="3654"/>
    <s v="India-II"/>
    <s v="Kondapur"/>
    <s v="Hyderabad"/>
    <s v="Kiran Hareendran"/>
    <n v="100"/>
    <n v="100"/>
    <n v="50"/>
    <n v="0"/>
    <n v="100"/>
    <n v="0"/>
    <n v="350"/>
    <n v="0.41666666666666669"/>
    <n v="4.8"/>
    <s v="10350 (42%)"/>
  </r>
  <r>
    <x v="40"/>
    <s v="PPS Motors Pvt Ltd_TL"/>
    <x v="122"/>
    <n v="3654"/>
    <s v="India-II"/>
    <s v="Hyder Nagar"/>
    <s v="Hyderabad"/>
    <s v="Kiran Hareendran"/>
    <n v="100"/>
    <n v="100"/>
    <n v="50"/>
    <n v="0"/>
    <n v="80"/>
    <n v="0"/>
    <n v="330"/>
    <n v="0.2361111111111111"/>
    <n v="4.8"/>
    <s v="1035001A (24%)"/>
  </r>
  <r>
    <x v="40"/>
    <s v="PPS Motors Pvt Ltd_TL"/>
    <x v="123"/>
    <n v="3654"/>
    <s v="India-II"/>
    <s v="Nadepalle"/>
    <s v="Nizamabad"/>
    <s v="Kiran Hareendran"/>
    <n v="100"/>
    <n v="100"/>
    <n v="50"/>
    <n v="0"/>
    <n v="100"/>
    <n v="80"/>
    <n v="430"/>
    <n v="6.9444444444444448E-2"/>
    <n v="5"/>
    <s v="2035003C (7%)"/>
  </r>
  <r>
    <x v="40"/>
    <s v="PPS Motors Pvt Ltd_TL"/>
    <x v="124"/>
    <n v="3654"/>
    <s v="India-II"/>
    <s v="AS Rao Nagar"/>
    <s v="Hyderabad"/>
    <s v="Kiran Hareendran"/>
    <n v="100"/>
    <n v="100"/>
    <n v="50"/>
    <n v="0"/>
    <n v="100"/>
    <n v="0"/>
    <n v="350"/>
    <n v="0.1388888888888889"/>
    <n v="4.9000000000000004"/>
    <s v="1035004A (14%)"/>
  </r>
  <r>
    <x v="40"/>
    <s v="PPS Motors Pvt Ltd_TL"/>
    <x v="125"/>
    <n v="3654"/>
    <s v="India-II"/>
    <s v="Financial District"/>
    <s v="Hyderabad"/>
    <s v="Kiran Hareendran"/>
    <n v="100"/>
    <n v="80"/>
    <n v="50"/>
    <n v="0"/>
    <n v="0"/>
    <n v="0"/>
    <n v="0"/>
    <n v="0.1388888888888889"/>
    <n v="4.8"/>
    <s v="1035005A (14%)"/>
  </r>
  <r>
    <x v="41"/>
    <s v="Prem Garages Pvt. Ltd"/>
    <x v="126"/>
    <n v="2861"/>
    <s v="India-II"/>
    <s v="Agra"/>
    <s v="Agra"/>
    <s v="Chirag Khanna"/>
    <n v="80"/>
    <n v="0"/>
    <n v="0"/>
    <n v="50"/>
    <n v="100"/>
    <n v="80"/>
    <n v="310"/>
    <n v="1"/>
    <n v="4.7"/>
    <s v="10336 (100%)"/>
  </r>
  <r>
    <x v="42"/>
    <s v="Presidency Cars Pvt. Ltd."/>
    <x v="127"/>
    <n v="2105"/>
    <s v="India-I"/>
    <s v="City Light Road"/>
    <s v="Surat"/>
    <s v="Nishant Sinha"/>
    <n v="80"/>
    <n v="100"/>
    <n v="50"/>
    <n v="50"/>
    <n v="80"/>
    <n v="80"/>
    <n v="0"/>
    <n v="0.63380281690140849"/>
    <n v="4.8"/>
    <s v="10349 (63%)"/>
  </r>
  <r>
    <x v="42"/>
    <s v="Presidency Cars Pvt. Ltd."/>
    <x v="128"/>
    <n v="2105"/>
    <s v="India-I"/>
    <s v="Charwada Road"/>
    <s v="Vapi"/>
    <s v="Nishant Sinha"/>
    <n v="100"/>
    <n v="100"/>
    <n v="50"/>
    <n v="50"/>
    <n v="100"/>
    <n v="80"/>
    <n v="0"/>
    <n v="0.18309859154929578"/>
    <n v="4.7"/>
    <s v="1034901C (18%)"/>
  </r>
  <r>
    <x v="42"/>
    <s v="Presidency Cars Pvt. Ltd."/>
    <x v="129"/>
    <n v="2105"/>
    <s v="India-I"/>
    <s v="Kabilpore"/>
    <s v="Navsari"/>
    <s v="Nishant Sinha"/>
    <n v="100"/>
    <n v="100"/>
    <n v="50"/>
    <n v="50"/>
    <n v="100"/>
    <n v="100"/>
    <n v="0"/>
    <n v="0.18309859154929578"/>
    <n v="4.9000000000000004"/>
    <s v="1034902C (18%)"/>
  </r>
  <r>
    <x v="43"/>
    <s v="Raja Ganesh Motors"/>
    <x v="130"/>
    <n v="2044"/>
    <s v="India-II"/>
    <s v="Mahadevpura"/>
    <s v="Bengaluru"/>
    <s v="Pradeep K"/>
    <n v="100"/>
    <n v="100"/>
    <n v="40"/>
    <n v="0"/>
    <n v="80"/>
    <n v="0"/>
    <n v="0"/>
    <n v="0.55932203389830504"/>
    <n v="4.5999999999999996"/>
    <s v="10351 (56%)"/>
  </r>
  <r>
    <x v="43"/>
    <s v="Raja Ganesh Motors"/>
    <x v="131"/>
    <n v="2044"/>
    <s v="India-II"/>
    <s v="Brookefield"/>
    <s v="Bengaluru"/>
    <s v="Pradeep K"/>
    <n v="100"/>
    <n v="0"/>
    <n v="40"/>
    <n v="0"/>
    <n v="0"/>
    <n v="0"/>
    <n v="0"/>
    <n v="0.19491525423728814"/>
    <n v="4.8"/>
    <s v="1035102A (19%)"/>
  </r>
  <r>
    <x v="43"/>
    <s v="Raja Ganesh Motors"/>
    <x v="132"/>
    <n v="2044"/>
    <s v="India-II"/>
    <s v="Bommasandra"/>
    <s v="Bengaluru"/>
    <s v="Pradeep K"/>
    <n v="100"/>
    <n v="80"/>
    <n v="40"/>
    <n v="0"/>
    <n v="0"/>
    <n v="0"/>
    <n v="0"/>
    <n v="0.24576271186440679"/>
    <n v="4.8"/>
    <s v="1035101A (25%)"/>
  </r>
  <r>
    <x v="44"/>
    <s v="Raja Motors Corporation"/>
    <x v="133"/>
    <n v="4183"/>
    <s v="India-II"/>
    <s v="Bairidevarkoppa"/>
    <s v="Hubballi"/>
    <s v="Paresh Hegde"/>
    <n v="80"/>
    <n v="100"/>
    <n v="50"/>
    <n v="0"/>
    <n v="80"/>
    <n v="0"/>
    <n v="0"/>
    <n v="0.54347826086956519"/>
    <n v="4.9000000000000004"/>
    <s v="10390 (54%)"/>
  </r>
  <r>
    <x v="44"/>
    <s v="Raja Motors Corporation"/>
    <x v="134"/>
    <n v="4183"/>
    <s v="India-II"/>
    <s v="Kangralli Ind. Area"/>
    <s v="Belgaum"/>
    <s v="Paresh Hegde"/>
    <n v="80"/>
    <n v="100"/>
    <n v="50"/>
    <n v="0"/>
    <n v="80"/>
    <n v="0"/>
    <n v="310"/>
    <n v="0.2391304347826087"/>
    <n v="4.9000000000000004"/>
    <s v="1039001C (24%)"/>
  </r>
  <r>
    <x v="45"/>
    <s v="S7 Cars India Pvt. Ltd"/>
    <x v="135"/>
    <n v="1204"/>
    <s v="India-II"/>
    <s v="Bathalapalli"/>
    <s v="Hosur"/>
    <s v="Jobin Mathew"/>
    <n v="0"/>
    <n v="80"/>
    <n v="40"/>
    <n v="0"/>
    <n v="80"/>
    <n v="0"/>
    <n v="200"/>
    <n v="0.12698412698412698"/>
    <n v="4.8"/>
    <s v="1014103C (13%)"/>
  </r>
  <r>
    <x v="45"/>
    <s v="S7 Cars India Pvt. Ltd"/>
    <x v="136"/>
    <n v="1204"/>
    <s v="India-II"/>
    <s v="Nalliyampalayam"/>
    <s v="Erode"/>
    <s v="Jobin Mathew"/>
    <n v="80"/>
    <n v="100"/>
    <n v="40"/>
    <n v="0"/>
    <n v="100"/>
    <n v="80"/>
    <n v="0"/>
    <n v="0.17460317460317459"/>
    <n v="4.7"/>
    <s v="1014101C (17%)"/>
  </r>
  <r>
    <x v="45"/>
    <s v="S7 Cars India Pvt. Ltd"/>
    <x v="137"/>
    <n v="1204"/>
    <s v="India-II"/>
    <s v="Mamangam"/>
    <s v="Salem"/>
    <s v="Jobin Mathew"/>
    <n v="80"/>
    <n v="0"/>
    <n v="40"/>
    <n v="0"/>
    <n v="100"/>
    <n v="0"/>
    <n v="0"/>
    <n v="0.55555555555555558"/>
    <n v="4.7"/>
    <s v="20141 (56%)"/>
  </r>
  <r>
    <x v="45"/>
    <s v="S7 Cars India Pvt. Ltd"/>
    <x v="138"/>
    <n v="1204"/>
    <s v="India-II"/>
    <s v="Salem Road"/>
    <s v="Namakkal"/>
    <s v="Jobin Mathew"/>
    <n v="0"/>
    <n v="100"/>
    <n v="40"/>
    <n v="0"/>
    <n v="0"/>
    <n v="100"/>
    <n v="0"/>
    <n v="0.14285714285714285"/>
    <n v="5"/>
    <s v="1014102C (14%)"/>
  </r>
  <r>
    <x v="46"/>
    <s v="Saisha Motors Pvt Ltd"/>
    <x v="139"/>
    <n v="1987"/>
    <s v="India-I"/>
    <s v="Tonk Road"/>
    <s v="Jaipur"/>
    <s v="Pratap C."/>
    <n v="100"/>
    <n v="0"/>
    <n v="50"/>
    <n v="0"/>
    <n v="100"/>
    <n v="0"/>
    <n v="250"/>
    <n v="0.30481283422459893"/>
    <n v="4.7"/>
    <s v="10290 (30%)"/>
  </r>
  <r>
    <x v="46"/>
    <s v="Saisha Motors Pvt Ltd"/>
    <x v="140"/>
    <n v="1987"/>
    <s v="India-I"/>
    <s v="200 Feet Road"/>
    <s v="Alwar"/>
    <s v="Pratap C."/>
    <n v="80"/>
    <n v="100"/>
    <n v="50"/>
    <n v="0"/>
    <n v="100"/>
    <n v="80"/>
    <n v="410"/>
    <n v="8.0213903743315509E-2"/>
    <n v="5"/>
    <s v="2029001C (8%)"/>
  </r>
  <r>
    <x v="46"/>
    <s v="Saisha Motors Pvt Ltd"/>
    <x v="141"/>
    <n v="1987"/>
    <s v="India-I"/>
    <s v="Vaishali Nagar"/>
    <s v="Jaipur"/>
    <s v="Pratap C."/>
    <n v="100"/>
    <n v="100"/>
    <n v="50"/>
    <n v="0"/>
    <n v="100"/>
    <n v="80"/>
    <n v="430"/>
    <n v="0.20320855614973263"/>
    <n v="4.7"/>
    <s v="1029003A (20%)"/>
  </r>
  <r>
    <x v="46"/>
    <s v="Saisha Motors Pvt Ltd"/>
    <x v="142"/>
    <n v="1987"/>
    <s v="India-I"/>
    <s v="Jaipur-Jhunjhunu Bypass"/>
    <s v="Sikar"/>
    <s v="Pratap C."/>
    <n v="100"/>
    <n v="80"/>
    <n v="50"/>
    <n v="0"/>
    <n v="100"/>
    <n v="100"/>
    <n v="430"/>
    <n v="8.5561497326203204E-2"/>
    <n v="4.8"/>
    <s v="2029002C (9%)"/>
  </r>
  <r>
    <x v="46"/>
    <s v="Saisha Motors Pvt Ltd"/>
    <x v="143"/>
    <n v="1987"/>
    <s v="India-I"/>
    <s v="Riico Industrial Area"/>
    <s v="Ajmer"/>
    <s v="Pratap C."/>
    <n v="100"/>
    <n v="80"/>
    <n v="50"/>
    <n v="0"/>
    <n v="100"/>
    <n v="80"/>
    <n v="410"/>
    <n v="9.0909090909090912E-2"/>
    <n v="4.9000000000000004"/>
    <s v="2029004C (9%)"/>
  </r>
  <r>
    <x v="47"/>
    <s v="Sarra Motors"/>
    <x v="144"/>
    <n v="1958"/>
    <s v="India-I"/>
    <s v="Chikalthana"/>
    <s v="Chhatrapati Sambhajinagar"/>
    <s v="Sarat Chakraborty"/>
    <n v="100"/>
    <n v="0"/>
    <n v="40"/>
    <n v="50"/>
    <n v="100"/>
    <n v="0"/>
    <n v="0"/>
    <n v="1"/>
    <n v="4.7"/>
    <s v="10032 (100%)"/>
  </r>
  <r>
    <x v="48"/>
    <s v="Satguru Motors"/>
    <x v="145"/>
    <n v="1489"/>
    <s v="India-I"/>
    <s v="Dewas Naka"/>
    <s v="Indore"/>
    <s v="Pratap C."/>
    <n v="0"/>
    <n v="0"/>
    <n v="0"/>
    <n v="0"/>
    <n v="80"/>
    <n v="80"/>
    <n v="160"/>
    <n v="0.69090909090909092"/>
    <n v="4.7"/>
    <s v="10025 (69%)"/>
  </r>
  <r>
    <x v="48"/>
    <s v="Satguru Motors"/>
    <x v="146"/>
    <n v="1489"/>
    <s v="India-I"/>
    <s v="Salakhedi"/>
    <s v="Ratlam"/>
    <s v="Pratap C."/>
    <n v="0"/>
    <n v="0"/>
    <n v="0"/>
    <n v="0"/>
    <n v="0"/>
    <n v="80"/>
    <n v="0"/>
    <n v="0.14545454545454545"/>
    <n v="4.7"/>
    <s v="1002502C (15%)"/>
  </r>
  <r>
    <x v="49"/>
    <s v="SGA Cars India Pvt Ltd "/>
    <x v="147"/>
    <n v="2154"/>
    <s v="India-II"/>
    <s v="Mettupalayam Road"/>
    <s v="Coimbatore"/>
    <s v="Jobin Mathew"/>
    <n v="100"/>
    <n v="80"/>
    <n v="50"/>
    <n v="0"/>
    <n v="0"/>
    <n v="80"/>
    <n v="0"/>
    <n v="0.25242718446601942"/>
    <n v="4.8"/>
    <s v="10334 (25%)"/>
  </r>
  <r>
    <x v="49"/>
    <s v="SGA Cars India Pvt Ltd "/>
    <x v="148"/>
    <n v="2154"/>
    <s v="India-II"/>
    <s v="Avinashi Road"/>
    <s v="Coimbatore"/>
    <s v="Jobin Mathew"/>
    <n v="100"/>
    <n v="100"/>
    <n v="50"/>
    <n v="50"/>
    <n v="80"/>
    <n v="80"/>
    <n v="460"/>
    <n v="0.20388349514563106"/>
    <n v="4.8"/>
    <s v="10342 (20%)"/>
  </r>
  <r>
    <x v="49"/>
    <s v="SGA Cars India Pvt Ltd "/>
    <x v="149"/>
    <n v="2154"/>
    <s v="India-II"/>
    <s v="Palladam Main Road"/>
    <s v="Tirupur"/>
    <s v="Jobin Mathew"/>
    <n v="100"/>
    <n v="100"/>
    <n v="50"/>
    <n v="0"/>
    <n v="0"/>
    <n v="80"/>
    <n v="0"/>
    <n v="0.13592233009708737"/>
    <n v="4.9000000000000004"/>
    <s v="1033401A (14%)"/>
  </r>
  <r>
    <x v="49"/>
    <s v="SGA Cars India Pvt Ltd "/>
    <x v="150"/>
    <n v="2154"/>
    <s v="India-II"/>
    <s v="Salem Bypass Road"/>
    <s v="Karur"/>
    <s v="Jobin Mathew"/>
    <n v="100"/>
    <n v="100"/>
    <n v="50"/>
    <n v="0"/>
    <n v="0"/>
    <n v="0"/>
    <n v="0"/>
    <n v="8.7378640776699032E-2"/>
    <n v="4.9000000000000004"/>
    <s v="1025902C (9%)"/>
  </r>
  <r>
    <x v="49"/>
    <s v="SGA Cars India Pvt Ltd "/>
    <x v="151"/>
    <n v="2154"/>
    <s v="India-II"/>
    <s v="Coimbatore Pollachi Road"/>
    <s v="Pollachi"/>
    <s v="Jobin Mathew"/>
    <n v="100"/>
    <n v="100"/>
    <n v="50"/>
    <n v="0"/>
    <n v="80"/>
    <n v="0"/>
    <n v="330"/>
    <n v="8.7378640776699032E-2"/>
    <n v="4.9000000000000004"/>
    <s v="1025903C (9%)"/>
  </r>
  <r>
    <x v="49"/>
    <s v="SGA Cars India Pvt Ltd "/>
    <x v="152"/>
    <n v="2154"/>
    <s v="India-II"/>
    <s v="Saravanampatti"/>
    <s v="Coimbatore"/>
    <s v="Jobin Mathew"/>
    <n v="100"/>
    <n v="100"/>
    <n v="50"/>
    <n v="0"/>
    <n v="80"/>
    <n v="80"/>
    <n v="410"/>
    <n v="0.23300970873786409"/>
    <n v="4.9000000000000004"/>
    <s v="1025904C (23%)"/>
  </r>
  <r>
    <x v="50"/>
    <s v="Shanta Motors Pvt. Ltd."/>
    <x v="153"/>
    <n v="2185"/>
    <s v="India-I"/>
    <s v="Amberi"/>
    <s v="Udaipur"/>
    <s v="Pratap C."/>
    <n v="0"/>
    <n v="0"/>
    <n v="40"/>
    <n v="50"/>
    <n v="100"/>
    <n v="0"/>
    <n v="0"/>
    <n v="0.75"/>
    <n v="4.9000000000000004"/>
    <s v="10392 (75%)"/>
  </r>
  <r>
    <x v="51"/>
    <s v="Shekhawati Electronics Pvt Ltd "/>
    <x v="154"/>
    <n v="2768"/>
    <s v="India-I"/>
    <s v="East Delhi"/>
    <s v="New Delhi"/>
    <s v="Dinesh Bhatia"/>
    <n v="0"/>
    <n v="100"/>
    <n v="0"/>
    <n v="0"/>
    <n v="100"/>
    <n v="80"/>
    <n v="280"/>
    <n v="1"/>
    <n v="4.7"/>
    <s v="10352 (100%)"/>
  </r>
  <r>
    <x v="52"/>
    <s v="Shreenathji Automobiles Pvt Ltd"/>
    <x v="155"/>
    <n v="2774"/>
    <s v="India-I"/>
    <s v="Gondal Road"/>
    <s v="Rajkot"/>
    <s v="Sarat Chakraborty"/>
    <n v="100"/>
    <n v="80"/>
    <n v="40"/>
    <n v="0"/>
    <n v="100"/>
    <n v="80"/>
    <n v="400"/>
    <n v="0.47887323943661969"/>
    <n v="4.9000000000000004"/>
    <s v="10335 (48%)"/>
  </r>
  <r>
    <x v="52"/>
    <s v="Shreenathji Automobiles Pvt Ltd"/>
    <x v="156"/>
    <n v="2774"/>
    <s v="India-I"/>
    <s v="Bhesan Chokadi"/>
    <s v="Junagadh"/>
    <s v="Sarat Chakraborty"/>
    <n v="0"/>
    <n v="0"/>
    <n v="40"/>
    <n v="0"/>
    <n v="100"/>
    <n v="100"/>
    <n v="240"/>
    <n v="0.12676056338028169"/>
    <n v="4.9000000000000004"/>
    <s v="2033503C (13%)"/>
  </r>
  <r>
    <x v="52"/>
    <s v="Shreenathji Automobiles Pvt Ltd"/>
    <x v="157"/>
    <n v="2774"/>
    <s v="India-I"/>
    <s v="Hapa"/>
    <s v="Jamnagar"/>
    <s v="Sarat Chakraborty"/>
    <n v="100"/>
    <n v="0"/>
    <n v="40"/>
    <n v="0"/>
    <n v="100"/>
    <n v="80"/>
    <n v="320"/>
    <n v="0.12676056338028169"/>
    <n v="4.9000000000000004"/>
    <s v="2033502C (13%)"/>
  </r>
  <r>
    <x v="52"/>
    <s v="Shreenathji Automobiles Pvt Ltd"/>
    <x v="158"/>
    <n v="2774"/>
    <s v="India-I"/>
    <s v="Sanala"/>
    <s v="Morbi"/>
    <s v="Sarat Chakraborty"/>
    <n v="0"/>
    <n v="0"/>
    <n v="40"/>
    <n v="0"/>
    <n v="100"/>
    <n v="80"/>
    <n v="220"/>
    <n v="0.12676056338028169"/>
    <n v="4.9000000000000004"/>
    <s v="2033504C (13%)"/>
  </r>
  <r>
    <x v="52"/>
    <s v="Shreenathji Automobiles Pvt Ltd"/>
    <x v="159"/>
    <n v="2774"/>
    <s v="India-I"/>
    <s v="Anjar"/>
    <s v="Gandhidham"/>
    <s v="Sarat Chakraborty"/>
    <n v="100"/>
    <n v="80"/>
    <n v="40"/>
    <n v="0"/>
    <n v="100"/>
    <n v="80"/>
    <n v="400"/>
    <n v="0.14084507042253522"/>
    <n v="4.9000000000000004"/>
    <s v="2033505C (14%)"/>
  </r>
  <r>
    <x v="53"/>
    <s v="ShriBalaji AutoAgency Mysore Pvt. Ltd"/>
    <x v="160"/>
    <n v="2168"/>
    <s v="India-II"/>
    <s v="Koorgalli Industrial Area"/>
    <s v="Mysore"/>
    <s v="Paresh Hegde"/>
    <n v="0"/>
    <n v="0"/>
    <n v="50"/>
    <n v="0"/>
    <n v="100"/>
    <n v="80"/>
    <n v="0"/>
    <n v="0.56097560975609762"/>
    <n v="4.5999999999999996"/>
    <s v="10343 (56%)"/>
  </r>
  <r>
    <x v="53"/>
    <s v="ShriBalaji AutoAgency Mysore Pvt. Ltd"/>
    <x v="161"/>
    <n v="2168"/>
    <s v="India-II"/>
    <s v="New Kanthraj Road"/>
    <s v="Mysore"/>
    <s v="Paresh Hegde"/>
    <n v="0"/>
    <n v="0"/>
    <n v="50"/>
    <n v="0"/>
    <n v="100"/>
    <n v="80"/>
    <n v="0"/>
    <n v="0.24390243902439024"/>
    <n v="4.5999999999999996"/>
    <s v="1034301A (24%)"/>
  </r>
  <r>
    <x v="54"/>
    <s v="Unique Automobiles (Cars) Pvt. Ltd"/>
    <x v="162"/>
    <n v="2855"/>
    <s v="India-I"/>
    <s v="Kolhapur"/>
    <s v="Kolhapur"/>
    <s v="Sarat Chakraborty"/>
    <n v="80"/>
    <n v="100"/>
    <n v="0"/>
    <n v="0"/>
    <n v="100"/>
    <n v="80"/>
    <n v="0"/>
    <n v="0.61904761904761907"/>
    <n v="4.7"/>
    <s v="12026 (62%)"/>
  </r>
  <r>
    <x v="54"/>
    <s v="Unique Automobiles (Cars) Pvt. Ltd"/>
    <x v="163"/>
    <n v="2855"/>
    <s v="India-I"/>
    <s v="Sangli-Kolhapur Road"/>
    <s v="Sangli"/>
    <s v="Sarat Chakraborty"/>
    <n v="80"/>
    <n v="80"/>
    <n v="0"/>
    <n v="0"/>
    <n v="100"/>
    <n v="0"/>
    <n v="0"/>
    <n v="0.21428571428571427"/>
    <n v="4.8"/>
    <s v="1002602C (21%)"/>
  </r>
  <r>
    <x v="54"/>
    <s v="Unique Automobiles (Cars) Pvt. Ltd"/>
    <x v="164"/>
    <n v="2855"/>
    <s v="India-I"/>
    <s v="Pune-Kolhapur Road"/>
    <s v="Satara"/>
    <s v="Sarat Chakraborty"/>
    <n v="100"/>
    <n v="0"/>
    <n v="0"/>
    <n v="0"/>
    <n v="100"/>
    <n v="80"/>
    <n v="280"/>
    <n v="0.16666666666666666"/>
    <n v="5"/>
    <s v="1002601A (17%)"/>
  </r>
  <r>
    <x v="55"/>
    <s v="Singhania Motors Pvt Ltd"/>
    <x v="165"/>
    <n v="4077"/>
    <s v="India-II"/>
    <s v="Govindpur"/>
    <s v="Dhanbad"/>
    <s v="Tobruk Bhan"/>
    <n v="100"/>
    <n v="80"/>
    <n v="0"/>
    <n v="50"/>
    <n v="0"/>
    <n v="0"/>
    <n v="0"/>
    <n v="0.2638888888888889"/>
    <n v="4.7"/>
    <s v="10373 (26%)"/>
  </r>
  <r>
    <x v="55"/>
    <s v="Singhania Motors Pvt Ltd"/>
    <x v="166"/>
    <n v="4077"/>
    <s v="India-II"/>
    <s v="Ormanjhi"/>
    <s v="Ranchi"/>
    <s v="Tobruk Bhan"/>
    <n v="80"/>
    <n v="100"/>
    <n v="50"/>
    <n v="0"/>
    <n v="100"/>
    <n v="0"/>
    <n v="0"/>
    <n v="0.4861111111111111"/>
    <n v="4.7"/>
    <s v="10372 (49%)"/>
  </r>
  <r>
    <x v="55"/>
    <s v="Singhania Motors Pvt Ltd"/>
    <x v="167"/>
    <n v="4077"/>
    <s v="India-II"/>
    <s v="Line Tank Road"/>
    <s v="Ranchi"/>
    <s v="Tobruk Bhan"/>
    <n v="100"/>
    <n v="100"/>
    <n v="0"/>
    <n v="0"/>
    <n v="100"/>
    <n v="0"/>
    <n v="300"/>
    <n v="0.25"/>
    <n v="4.8"/>
    <s v="1037201A (25%)"/>
  </r>
  <r>
    <x v="56"/>
    <s v="Speed Automotive Pvt. Ltd."/>
    <x v="168"/>
    <n v="2427"/>
    <s v="India-I"/>
    <s v="Tatibandh"/>
    <s v="Raipur"/>
    <s v="Nishant Sinha"/>
    <n v="0"/>
    <n v="0"/>
    <n v="50"/>
    <n v="0"/>
    <n v="80"/>
    <n v="0"/>
    <n v="0"/>
    <n v="0.75"/>
    <n v="4.0999999999999996"/>
    <s v="10102 (75%)"/>
  </r>
  <r>
    <x v="56"/>
    <s v="Speed Automotive Pvt. Ltd."/>
    <x v="169"/>
    <n v="2427"/>
    <s v="India-I"/>
    <s v="Biha"/>
    <s v="Bilaspur"/>
    <s v="Nishant Sinha"/>
    <n v="0"/>
    <n v="0"/>
    <n v="50"/>
    <n v="0"/>
    <n v="100"/>
    <n v="0"/>
    <n v="0"/>
    <n v="0.25"/>
    <n v="4.4000000000000004"/>
    <s v="10375 (25%)"/>
  </r>
  <r>
    <x v="57"/>
    <s v="Speedworks Auto Private Limited"/>
    <x v="170"/>
    <n v="3225"/>
    <s v="India-II"/>
    <s v="Kalpi Road"/>
    <s v="Kanpur"/>
    <s v="Chirag Khanna"/>
    <n v="100"/>
    <n v="100"/>
    <n v="50"/>
    <n v="50"/>
    <n v="100"/>
    <n v="80"/>
    <n v="480"/>
    <n v="0.35922330097087379"/>
    <n v="4.9000000000000004"/>
    <s v="10369 (36%)"/>
  </r>
  <r>
    <x v="57"/>
    <s v="Speedworks Auto Private Limited"/>
    <x v="171"/>
    <n v="3225"/>
    <s v="India-II"/>
    <s v="Transport Nagar"/>
    <s v="Lucknow"/>
    <s v="Chirag Khanna"/>
    <n v="100"/>
    <n v="100"/>
    <n v="50"/>
    <n v="50"/>
    <n v="80"/>
    <n v="0"/>
    <n v="380"/>
    <n v="0.34951456310679613"/>
    <n v="4.9000000000000004"/>
    <s v="1036901A (35%)"/>
  </r>
  <r>
    <x v="58"/>
    <s v="SSB Automobiles Pvt Ltd"/>
    <x v="172"/>
    <n v="2343"/>
    <s v="India-II"/>
    <s v="Mancotta Road"/>
    <s v="Dibrugarh"/>
    <s v="Paresh Hegde"/>
    <n v="80"/>
    <n v="0"/>
    <n v="0"/>
    <n v="0"/>
    <n v="80"/>
    <n v="100"/>
    <n v="260"/>
    <n v="0.14432989690721648"/>
    <n v="4.9000000000000004"/>
    <s v="1034601C (14%)"/>
  </r>
  <r>
    <x v="58"/>
    <s v="SSB Automobiles Pvt Ltd"/>
    <x v="173"/>
    <n v="2343"/>
    <s v="India-II"/>
    <s v="Burma Camp"/>
    <s v="Dimapur"/>
    <s v="Paresh Hegde"/>
    <n v="0"/>
    <n v="0"/>
    <n v="0"/>
    <n v="0"/>
    <n v="100"/>
    <n v="100"/>
    <n v="200"/>
    <n v="9.2783505154639179E-2"/>
    <n v="4.8"/>
    <s v="1034602C (9%)"/>
  </r>
  <r>
    <x v="58"/>
    <s v="SSB Automobiles Pvt Ltd"/>
    <x v="174"/>
    <n v="2343"/>
    <s v="India-II"/>
    <s v="Maligaon"/>
    <s v="Guwahati"/>
    <s v="Paresh Hegde"/>
    <n v="0"/>
    <n v="0"/>
    <n v="0"/>
    <n v="0"/>
    <n v="100"/>
    <n v="0"/>
    <n v="100"/>
    <n v="9.2783505154639179E-2"/>
    <n v="5"/>
    <s v="1034603A (9%)"/>
  </r>
  <r>
    <x v="58"/>
    <s v="SSB Automobiles Pvt Ltd"/>
    <x v="175"/>
    <n v="2343"/>
    <s v="India-II"/>
    <s v="Khutikatia"/>
    <s v="Nagaon"/>
    <s v="Paresh Hegde"/>
    <n v="0"/>
    <n v="80"/>
    <n v="0"/>
    <n v="0"/>
    <n v="80"/>
    <n v="80"/>
    <n v="240"/>
    <n v="8.247422680412371E-2"/>
    <n v="4.9000000000000004"/>
    <s v="1034604C (8%)"/>
  </r>
  <r>
    <x v="58"/>
    <s v="SSB Automobiles Pvt Ltd"/>
    <x v="176"/>
    <n v="2343"/>
    <s v="India-II"/>
    <s v="Khanapara"/>
    <s v="Guwahati"/>
    <s v="Paresh Hegde"/>
    <n v="100"/>
    <n v="0"/>
    <n v="0"/>
    <n v="0"/>
    <n v="100"/>
    <n v="0"/>
    <n v="200"/>
    <n v="0.50515463917525771"/>
    <n v="4.7"/>
    <s v="10346 (51%)"/>
  </r>
  <r>
    <x v="59"/>
    <s v="Stellar Autohaus Pvt ltd  "/>
    <x v="177"/>
    <n v="2358"/>
    <s v="India-I"/>
    <s v="Makarba"/>
    <s v="Ahmedabad"/>
    <s v="Sarat Chakraborty"/>
    <n v="100"/>
    <n v="0"/>
    <n v="40"/>
    <n v="0"/>
    <n v="80"/>
    <n v="0"/>
    <n v="0"/>
    <n v="0.26359832635983266"/>
    <n v="4.5999999999999996"/>
    <s v="10316 (26%)"/>
  </r>
  <r>
    <x v="59"/>
    <s v="Stellar Autohaus Pvt ltd  "/>
    <x v="178"/>
    <n v="2358"/>
    <s v="India-I"/>
    <s v="Dumas Road"/>
    <s v="Surat"/>
    <s v="Sarat Chakraborty"/>
    <n v="80"/>
    <n v="80"/>
    <n v="40"/>
    <n v="50"/>
    <n v="100"/>
    <n v="0"/>
    <n v="350"/>
    <n v="0.15899581589958159"/>
    <n v="4.7"/>
    <s v="10333 (16%)"/>
  </r>
  <r>
    <x v="59"/>
    <s v="Stellar Autohaus Pvt ltd  "/>
    <x v="179"/>
    <n v="2358"/>
    <s v="India-I"/>
    <s v="Atladra"/>
    <s v="Vadodara"/>
    <s v="Sarat Chakraborty"/>
    <n v="80"/>
    <n v="100"/>
    <n v="40"/>
    <n v="50"/>
    <n v="80"/>
    <n v="0"/>
    <n v="0"/>
    <n v="0.13807531380753138"/>
    <n v="4.5999999999999996"/>
    <s v="10323 (14%)"/>
  </r>
  <r>
    <x v="59"/>
    <s v="Stellar Autohaus Pvt ltd  "/>
    <x v="180"/>
    <n v="2358"/>
    <s v="India-I"/>
    <s v="Nagalpur"/>
    <s v="Mehsana"/>
    <s v="Sarat Chakraborty"/>
    <n v="100"/>
    <n v="0"/>
    <n v="40"/>
    <n v="0"/>
    <n v="100"/>
    <n v="0"/>
    <n v="240"/>
    <n v="3.7656903765690378E-2"/>
    <n v="4.9000000000000004"/>
    <s v="2031601C (4%)"/>
  </r>
  <r>
    <x v="59"/>
    <s v="Stellar Autohaus Pvt ltd  "/>
    <x v="181"/>
    <n v="2358"/>
    <s v="India-I"/>
    <s v="Gota"/>
    <s v="Ahmedabad"/>
    <s v="Sarat Chakraborty"/>
    <n v="100"/>
    <n v="80"/>
    <n v="40"/>
    <n v="0"/>
    <n v="80"/>
    <n v="0"/>
    <n v="300"/>
    <n v="0.1297071129707113"/>
    <n v="4.8"/>
    <s v="1031602A (13%)"/>
  </r>
  <r>
    <x v="59"/>
    <s v="Stellar Autohaus Pvt ltd  "/>
    <x v="182"/>
    <n v="2358"/>
    <s v="India-I"/>
    <s v="Chitra "/>
    <s v="Bhavnagar"/>
    <s v="Sarat Chakraborty"/>
    <n v="100"/>
    <n v="100"/>
    <n v="40"/>
    <n v="0"/>
    <n v="100"/>
    <n v="0"/>
    <n v="340"/>
    <n v="3.7656903765690378E-2"/>
    <n v="5"/>
    <s v="2031603C (4%)"/>
  </r>
  <r>
    <x v="59"/>
    <s v="Stellar Autohaus Pvt ltd  "/>
    <x v="183"/>
    <n v="2358"/>
    <s v="India-I"/>
    <s v="Bholav"/>
    <s v="Bharuch"/>
    <s v="Sarat Chakraborty"/>
    <n v="0"/>
    <n v="0"/>
    <n v="40"/>
    <n v="50"/>
    <n v="80"/>
    <n v="0"/>
    <n v="170"/>
    <n v="3.7656903765690378E-2"/>
    <n v="4.9000000000000004"/>
    <s v="2033301C (4%)"/>
  </r>
  <r>
    <x v="59"/>
    <s v="Stellar Autohaus Pvt ltd  "/>
    <x v="184"/>
    <n v="2358"/>
    <s v="India-I"/>
    <s v="Channi Jakat Naka"/>
    <s v="Vadodara"/>
    <s v="Sarat Chakraborty"/>
    <n v="100"/>
    <n v="80"/>
    <n v="40"/>
    <n v="50"/>
    <n v="80"/>
    <n v="0"/>
    <n v="350"/>
    <n v="7.5313807531380755E-2"/>
    <n v="4.8"/>
    <s v="2032301C (8%)"/>
  </r>
  <r>
    <x v="59"/>
    <s v="Stellar Autohaus Pvt ltd  "/>
    <x v="185"/>
    <n v="2358"/>
    <s v="India-I"/>
    <s v="Chikhodara Crossing"/>
    <s v="Anand"/>
    <s v="Sarat Chakraborty"/>
    <n v="100"/>
    <n v="0"/>
    <n v="40"/>
    <n v="50"/>
    <n v="100"/>
    <n v="0"/>
    <n v="290"/>
    <n v="3.3472803347280332E-2"/>
    <n v="4.9000000000000004"/>
    <s v="2032302C (3%)"/>
  </r>
  <r>
    <x v="59"/>
    <s v="Stellar Autohaus Pvt ltd  "/>
    <x v="186"/>
    <n v="2358"/>
    <s v="India-I"/>
    <s v="Puna Canal Road"/>
    <s v="Surat"/>
    <s v="Sarat Chakraborty"/>
    <n v="100"/>
    <n v="0"/>
    <n v="40"/>
    <n v="50"/>
    <n v="100"/>
    <n v="0"/>
    <n v="290"/>
    <n v="3.7656903765690378E-2"/>
    <n v="4.8"/>
    <s v="1033301A (4%)"/>
  </r>
  <r>
    <x v="60"/>
    <s v="SV Autowheels LLP "/>
    <x v="187"/>
    <n v="2785"/>
    <s v="India-II"/>
    <s v="Saguna More"/>
    <s v="Patna"/>
    <s v="Tobruk Bhan"/>
    <n v="100"/>
    <n v="80"/>
    <n v="50"/>
    <n v="0"/>
    <n v="100"/>
    <n v="0"/>
    <n v="0"/>
    <n v="0.43"/>
    <n v="4.8"/>
    <s v="10353 (43%)"/>
  </r>
  <r>
    <x v="60"/>
    <s v="SV Autowheels LLP "/>
    <x v="188"/>
    <n v="2785"/>
    <s v="India-II"/>
    <s v="Kankarbagh Road"/>
    <s v="Patna"/>
    <s v="Tobruk Bhan"/>
    <n v="80"/>
    <n v="0"/>
    <n v="50"/>
    <n v="0"/>
    <n v="80"/>
    <n v="0"/>
    <n v="0"/>
    <n v="0.24"/>
    <n v="4.8"/>
    <s v="1035301A (24%)"/>
  </r>
  <r>
    <x v="60"/>
    <s v="SV Autowheels LLP "/>
    <x v="189"/>
    <n v="2785"/>
    <s v="India-II"/>
    <s v="Damka Chowk"/>
    <s v="Purnea"/>
    <s v="Tobruk Bhan"/>
    <n v="80"/>
    <n v="0"/>
    <n v="50"/>
    <n v="0"/>
    <n v="100"/>
    <n v="0"/>
    <n v="0"/>
    <n v="0.1"/>
    <n v="4.9000000000000004"/>
    <s v="2035303C (10%)"/>
  </r>
  <r>
    <x v="60"/>
    <s v="SV Autowheels LLP "/>
    <x v="190"/>
    <n v="2785"/>
    <s v="India-II"/>
    <s v="Madhaul"/>
    <s v="Muzzaffarpur"/>
    <s v="Tobruk Bhan"/>
    <n v="100"/>
    <n v="80"/>
    <n v="50"/>
    <n v="0"/>
    <n v="80"/>
    <n v="80"/>
    <n v="0"/>
    <n v="0.14000000000000001"/>
    <n v="4.9000000000000004"/>
    <s v="2035302C (14%)"/>
  </r>
  <r>
    <x v="60"/>
    <s v="SV Autowheels LLP "/>
    <x v="191"/>
    <n v="2785"/>
    <s v="India-II"/>
    <s v="Gaya-Dobhi Road"/>
    <s v="Gaya"/>
    <s v="Tobruk Bhan"/>
    <n v="100"/>
    <n v="0"/>
    <n v="50"/>
    <n v="0"/>
    <n v="100"/>
    <n v="0"/>
    <n v="0"/>
    <n v="0.09"/>
    <n v="4.9000000000000004"/>
    <s v="2035304C (9%)"/>
  </r>
  <r>
    <x v="61"/>
    <s v="Tafe Access Limited "/>
    <x v="192"/>
    <n v="2347"/>
    <s v="India-II"/>
    <s v="HSR Layout"/>
    <s v="Bengaluru"/>
    <s v="Pradeep K"/>
    <n v="100"/>
    <n v="100"/>
    <n v="50"/>
    <n v="0"/>
    <n v="80"/>
    <n v="80"/>
    <n v="0"/>
    <n v="0.22346368715083798"/>
    <n v="4.4000000000000004"/>
    <s v="10192 (22%)"/>
  </r>
  <r>
    <x v="61"/>
    <s v="Tafe Access Limited "/>
    <x v="193"/>
    <n v="2347"/>
    <s v="India-II"/>
    <s v="St. Marks Road"/>
    <s v="Bengaluru"/>
    <s v="Pradeep K"/>
    <n v="100"/>
    <n v="100"/>
    <n v="50"/>
    <n v="50"/>
    <n v="100"/>
    <n v="0"/>
    <n v="400"/>
    <n v="0.34078212290502791"/>
    <n v="4.7"/>
    <s v="10021 (34%)"/>
  </r>
  <r>
    <x v="61"/>
    <s v="Tafe Access Limited "/>
    <x v="194"/>
    <n v="2347"/>
    <s v="India-II"/>
    <s v="Mangalore"/>
    <s v="Mangalore"/>
    <s v="Pradeep K"/>
    <n v="100"/>
    <n v="100"/>
    <n v="50"/>
    <n v="50"/>
    <n v="100"/>
    <n v="80"/>
    <n v="480"/>
    <n v="0.1005586592178771"/>
    <n v="4.7"/>
    <s v="21021 (10%)"/>
  </r>
  <r>
    <x v="61"/>
    <s v="Tafe Access Limited "/>
    <x v="195"/>
    <n v="2347"/>
    <s v="India-II"/>
    <s v="Sarjapur"/>
    <s v="Bengaluru"/>
    <s v="Pradeep K"/>
    <n v="80"/>
    <n v="100"/>
    <n v="50"/>
    <n v="0"/>
    <n v="80"/>
    <n v="80"/>
    <n v="390"/>
    <n v="0.15083798882681565"/>
    <n v="4.7"/>
    <s v="1019202A (15%)"/>
  </r>
  <r>
    <x v="61"/>
    <s v="Tafe Access Limited "/>
    <x v="196"/>
    <n v="2347"/>
    <s v="India-II"/>
    <s v="Ambagilu"/>
    <s v="Udupi"/>
    <s v="Pradeep K"/>
    <n v="80"/>
    <n v="100"/>
    <n v="50"/>
    <n v="50"/>
    <n v="100"/>
    <n v="80"/>
    <n v="460"/>
    <n v="0.1005586592178771"/>
    <n v="4.8"/>
    <s v="2302101C (10%)"/>
  </r>
  <r>
    <x v="61"/>
    <s v="Tafe Access Limited "/>
    <x v="197"/>
    <n v="2347"/>
    <s v="India-II"/>
    <s v="Shankar Mutta Road"/>
    <s v="Shivamogga"/>
    <s v="Pradeep K"/>
    <n v="100"/>
    <n v="0"/>
    <n v="50"/>
    <n v="50"/>
    <n v="100"/>
    <n v="0"/>
    <n v="300"/>
    <n v="8.3798882681564241E-2"/>
    <n v="4.9000000000000004"/>
    <s v="2102102A (8%)"/>
  </r>
  <r>
    <x v="62"/>
    <s v="United Wheels"/>
    <x v="198"/>
    <n v="1996"/>
    <s v="India-I"/>
    <s v="Ambala Cantonment"/>
    <s v="Ambala"/>
    <s v="Dinesh Bhatia"/>
    <n v="100"/>
    <n v="100"/>
    <n v="50"/>
    <n v="50"/>
    <n v="80"/>
    <n v="0"/>
    <n v="380"/>
    <n v="0.6785714285714286"/>
    <n v="4.8"/>
    <s v="10394 (68%)"/>
  </r>
  <r>
    <x v="63"/>
    <s v="Utsav India Cars LLP"/>
    <x v="199"/>
    <n v="3902"/>
    <s v="India-I"/>
    <s v="Bhagat ki kothi Extension"/>
    <s v="Jodhpur"/>
    <s v="Pratap C."/>
    <n v="80"/>
    <n v="0"/>
    <n v="0"/>
    <n v="0"/>
    <n v="100"/>
    <n v="80"/>
    <n v="260"/>
    <n v="1"/>
    <n v="4.9000000000000004"/>
    <s v="10396 (100%)"/>
  </r>
  <r>
    <x v="64"/>
    <s v="Wheelocity Motors Pvt Ltd + Elysian Automobile Pvt. Ltd."/>
    <x v="200"/>
    <n v="3850"/>
    <s v="India-I"/>
    <s v="Channi Himmat"/>
    <s v="Jammu"/>
    <s v="Harsh Rajan"/>
    <n v="0"/>
    <n v="80"/>
    <n v="50"/>
    <n v="50"/>
    <n v="80"/>
    <n v="0"/>
    <n v="0"/>
    <n v="0.68571428571428572"/>
    <n v="4.7"/>
    <s v="10292 (69%)"/>
  </r>
  <r>
    <x v="65"/>
    <s v="Empreo Allied Pvt. Ltd."/>
    <x v="201"/>
    <n v="1419"/>
    <s v="India-II"/>
    <s v="Raghunathpur"/>
    <s v="Bhubaneshwar"/>
    <s v="Pradeep K"/>
    <n v="0"/>
    <n v="100"/>
    <n v="0"/>
    <n v="50"/>
    <n v="100"/>
    <n v="80"/>
    <n v="0"/>
    <n v="1"/>
    <n v="4.8"/>
    <s v="10400 (100%)"/>
  </r>
  <r>
    <x v="62"/>
    <s v="United Wheels"/>
    <x v="202"/>
    <n v="1996"/>
    <s v="India-I"/>
    <s v="Jagadhri"/>
    <s v="Yamunanagar"/>
    <s v="Dinesh Bhatia"/>
    <n v="0"/>
    <n v="80"/>
    <n v="50"/>
    <n v="50"/>
    <n v="80"/>
    <n v="0"/>
    <n v="260"/>
    <n v="0.32142857142857145"/>
    <n v="4.8"/>
    <s v="1039401C (32%)"/>
  </r>
  <r>
    <x v="6"/>
    <s v="Berk Autozone LLP"/>
    <x v="203"/>
    <n v="1221"/>
    <s v="India-I"/>
    <s v="Phase 7 Industrial Area"/>
    <s v="Mohali"/>
    <s v="Harsh Rajan"/>
    <n v="100"/>
    <n v="100"/>
    <n v="0"/>
    <n v="0"/>
    <n v="80"/>
    <n v="0"/>
    <n v="280"/>
    <n v="0.48979591836734693"/>
    <n v="4.8"/>
    <s v="10398 (49%)"/>
  </r>
  <r>
    <x v="46"/>
    <s v="Saisha Motors Pvt Ltd"/>
    <x v="204"/>
    <n v="1987"/>
    <s v="India-I"/>
    <s v="VKI"/>
    <s v="Jaipur"/>
    <s v="Pratap C."/>
    <n v="100"/>
    <n v="100"/>
    <n v="50"/>
    <n v="0"/>
    <n v="100"/>
    <n v="100"/>
    <n v="450"/>
    <n v="0.11764705882352941"/>
    <n v="4.8"/>
    <s v="1029006A (12%)"/>
  </r>
  <r>
    <x v="66"/>
    <s v="Automovers Auto Industry Pvt. Ltd."/>
    <x v="205"/>
    <n v="3313"/>
    <s v="India-II"/>
    <s v="Chinhat"/>
    <s v="Lucknow"/>
    <s v="Kiran Hareendran"/>
    <n v="80"/>
    <n v="100"/>
    <n v="0"/>
    <n v="50"/>
    <n v="0"/>
    <n v="80"/>
    <n v="0"/>
    <n v="1"/>
    <n v="4.9000000000000004"/>
    <s v="10401 (100%)"/>
  </r>
  <r>
    <x v="67"/>
    <s v="RN Mobility Pvt. Ltd."/>
    <x v="206"/>
    <n v="1862"/>
    <s v="India-II"/>
    <s v="PTC Centre"/>
    <s v="Saharanpur"/>
    <s v="Chirag Khanna"/>
    <n v="0"/>
    <n v="0"/>
    <n v="0"/>
    <n v="0"/>
    <n v="100"/>
    <n v="0"/>
    <n v="100"/>
    <n v="0.44444444444444442"/>
    <n v="4.8"/>
    <s v="10402 (44%)"/>
  </r>
  <r>
    <x v="44"/>
    <s v="Raja Motors Corporation"/>
    <x v="207"/>
    <n v="4183"/>
    <s v="India-II"/>
    <s v="PB Road"/>
    <s v="Davanagere"/>
    <s v="Paresh Hegde"/>
    <n v="100"/>
    <n v="100"/>
    <n v="50"/>
    <n v="0"/>
    <n v="0"/>
    <n v="0"/>
    <n v="0"/>
    <n v="0.21739130434782608"/>
    <n v="4.8"/>
    <s v="1039002C (22%)"/>
  </r>
  <r>
    <x v="13"/>
    <s v="EVM Motors &amp; Vehicles India Pvt Ltd"/>
    <x v="208"/>
    <n v="3346"/>
    <s v="India-II"/>
    <s v="Krishnapuram"/>
    <s v="Kayamkulam"/>
    <s v="Ankit Gupta"/>
    <n v="100"/>
    <n v="100"/>
    <n v="0"/>
    <n v="0"/>
    <n v="100"/>
    <n v="80"/>
    <n v="0"/>
    <n v="3.7037037037037035E-2"/>
    <n v="4.9000000000000004"/>
    <s v="2032804C (4%)"/>
  </r>
  <r>
    <x v="13"/>
    <s v="EVM Motors &amp; Vehicles India Pvt Ltd"/>
    <x v="209"/>
    <n v="3346"/>
    <s v="India-II"/>
    <s v="Ezhinjillam"/>
    <s v="Thiruvalla"/>
    <s v="Ankit Gupta"/>
    <n v="100"/>
    <n v="100"/>
    <n v="0"/>
    <n v="50"/>
    <n v="80"/>
    <n v="80"/>
    <n v="0"/>
    <n v="3.2407407407407406E-2"/>
    <n v="5"/>
    <s v="2037602C (3%)"/>
  </r>
  <r>
    <x v="68"/>
    <s v="Kanal Vehicles LLP"/>
    <x v="210"/>
    <n v="1672"/>
    <s v="India-II"/>
    <s v="Civil Lines"/>
    <s v="Jhansi"/>
    <s v="Chirag Khanna"/>
    <n v="80"/>
    <n v="100"/>
    <n v="0"/>
    <n v="50"/>
    <n v="80"/>
    <n v="80"/>
    <n v="0"/>
    <n v="1"/>
    <n v="5"/>
    <s v="10403 (100%)"/>
  </r>
  <r>
    <x v="67"/>
    <s v="RN Mobility Pvt. Ltd."/>
    <x v="211"/>
    <n v="1862"/>
    <s v="India-II"/>
    <s v="Raja Park"/>
    <s v="Jaipur"/>
    <s v="Chirag Khanna"/>
    <n v="0"/>
    <n v="0"/>
    <n v="0"/>
    <n v="0"/>
    <n v="0"/>
    <n v="100"/>
    <n v="0"/>
    <n v="0.22222222222222221"/>
    <n v="4.7"/>
    <s v="1040201A (22%)"/>
  </r>
  <r>
    <x v="46"/>
    <s v="Saisha Motors Pvt Ltd"/>
    <x v="212"/>
    <n v="1987"/>
    <s v="India-I"/>
    <s v="Raja Park"/>
    <s v="Jaipur"/>
    <s v="Pratap C."/>
    <n v="100"/>
    <n v="80"/>
    <n v="50"/>
    <n v="0"/>
    <n v="100"/>
    <n v="80"/>
    <n v="410"/>
    <n v="0.11764705882352941"/>
    <n v="4.8"/>
    <s v="1029007A (12%)"/>
  </r>
  <r>
    <x v="69"/>
    <s v="Buglee Automobiles Pvt. Ltd."/>
    <x v="213"/>
    <n v="3783"/>
    <s v="India-I"/>
    <s v="Moti Nagar"/>
    <s v="New Delhi"/>
    <m/>
    <n v="100"/>
    <n v="100"/>
    <n v="40"/>
    <n v="0"/>
    <n v="100"/>
    <n v="80"/>
    <n v="0"/>
    <n v="0.6"/>
    <n v="4.7"/>
    <s v="10409 (60%)"/>
  </r>
  <r>
    <x v="70"/>
    <s v="Dhone Mobility Pvt. Ltd."/>
    <x v="214"/>
    <n v="2398"/>
    <s v="India-I"/>
    <s v="Wagholi"/>
    <s v="Pune"/>
    <m/>
    <n v="80"/>
    <n v="80"/>
    <n v="0"/>
    <n v="50"/>
    <n v="80"/>
    <n v="80"/>
    <n v="370"/>
    <n v="0.32183908045977011"/>
    <n v="4.9000000000000004"/>
    <s v="10406 (32%)"/>
  </r>
  <r>
    <x v="70"/>
    <s v="Dhone Mobility Pvt. Ltd."/>
    <x v="215"/>
    <n v="2398"/>
    <s v="India-I"/>
    <s v="Hadapsar"/>
    <s v="Pune"/>
    <m/>
    <n v="100"/>
    <n v="100"/>
    <n v="40"/>
    <n v="50"/>
    <n v="100"/>
    <n v="80"/>
    <n v="470"/>
    <n v="0.32183908045977011"/>
    <n v="5"/>
    <s v="10407 (32%)"/>
  </r>
  <r>
    <x v="70"/>
    <s v="Dhone Mobility Pvt. Ltd."/>
    <x v="216"/>
    <n v="2398"/>
    <s v="India-I"/>
    <s v="Satara Road"/>
    <s v="Pune"/>
    <m/>
    <n v="0"/>
    <n v="100"/>
    <n v="0"/>
    <n v="50"/>
    <n v="80"/>
    <n v="80"/>
    <n v="310"/>
    <n v="0.22988505747126436"/>
    <n v="4.9000000000000004"/>
    <s v="1040601A (23%)"/>
  </r>
  <r>
    <x v="64"/>
    <s v="Wheelocity Motors Pvt Ltd + Elysian Automobile Pvt. Ltd."/>
    <x v="217"/>
    <n v="3850"/>
    <s v="India-I"/>
    <s v="Nowgam"/>
    <s v="Srinagar"/>
    <m/>
    <n v="0"/>
    <n v="0"/>
    <n v="50"/>
    <n v="0"/>
    <n v="0"/>
    <n v="80"/>
    <n v="0"/>
    <n v="0.31428571428571428"/>
    <n v="4.8"/>
    <s v="10414 (31%)"/>
  </r>
  <r>
    <x v="17"/>
    <s v="Garnet Motors (D) Pvt. Ltd."/>
    <x v="218"/>
    <n v="3766"/>
    <s v="India-I"/>
    <s v="Powai"/>
    <s v="Mumbai"/>
    <s v="Sarat Chakraborty"/>
    <n v="100"/>
    <n v="100"/>
    <n v="0"/>
    <n v="0"/>
    <n v="100"/>
    <n v="0"/>
    <n v="300"/>
    <n v="0.26829268292682928"/>
    <n v="4.8"/>
    <s v="1039902A (27%)"/>
  </r>
  <r>
    <x v="71"/>
    <s v="Gurukrupa Cars Pvt. Ltd."/>
    <x v="219"/>
    <n v="4121"/>
    <s v="India-I"/>
    <s v="Shivaji Nagar"/>
    <s v="Solapur"/>
    <m/>
    <n v="100"/>
    <n v="80"/>
    <n v="0"/>
    <n v="50"/>
    <n v="0"/>
    <n v="0"/>
    <n v="0"/>
    <n v="0.44"/>
    <n v="4.9000000000000004"/>
    <s v="10405 (44%)"/>
  </r>
  <r>
    <x v="71"/>
    <s v="Gurukrupa Cars Pvt. Ltd."/>
    <x v="220"/>
    <n v="4121"/>
    <s v="India-I"/>
    <s v="Nanded Road"/>
    <s v="Latur"/>
    <m/>
    <n v="0"/>
    <n v="100"/>
    <n v="0"/>
    <n v="50"/>
    <n v="0"/>
    <n v="0"/>
    <n v="0"/>
    <n v="0.28000000000000003"/>
    <n v="4.7"/>
    <s v="1040501C (28%)"/>
  </r>
  <r>
    <x v="72"/>
    <s v="Karr Motor Ventures Pvt. Ltd"/>
    <x v="221"/>
    <n v="1998"/>
    <s v="India-II"/>
    <s v="JP Nagar"/>
    <s v="Bengaluru"/>
    <m/>
    <n v="80"/>
    <n v="100"/>
    <n v="40"/>
    <n v="50"/>
    <n v="80"/>
    <n v="80"/>
    <n v="430"/>
    <n v="0.65277777777777779"/>
    <n v="4.9000000000000004"/>
    <s v="10410 (65%)"/>
  </r>
  <r>
    <x v="73"/>
    <s v="Malwa Motor Sales Pvt. Ltd."/>
    <x v="222"/>
    <n v="1879"/>
    <s v="India-I"/>
    <s v="Wazirpur"/>
    <s v="New Delhi"/>
    <m/>
    <n v="0"/>
    <n v="100"/>
    <n v="50"/>
    <n v="0"/>
    <n v="100"/>
    <n v="80"/>
    <n v="330"/>
    <n v="0.6"/>
    <n v="4.7"/>
    <s v="10408 (60%)"/>
  </r>
  <r>
    <x v="73"/>
    <s v="Malwa Motor Sales Pvt. Ltd."/>
    <x v="223"/>
    <n v="1879"/>
    <s v="India-I"/>
    <s v="31 Milestone"/>
    <s v="Kundli"/>
    <m/>
    <n v="0"/>
    <n v="80"/>
    <n v="50"/>
    <n v="0"/>
    <n v="100"/>
    <n v="100"/>
    <n v="330"/>
    <n v="0.4"/>
    <n v="4.8"/>
    <s v="10395 (40%)"/>
  </r>
  <r>
    <x v="48"/>
    <s v="Satguru Motors"/>
    <x v="224"/>
    <n v="1489"/>
    <s v="India-I"/>
    <s v="Dewas Road"/>
    <s v="Ujjain"/>
    <s v="Pratap C."/>
    <n v="0"/>
    <n v="0"/>
    <n v="0"/>
    <n v="0"/>
    <n v="0"/>
    <n v="80"/>
    <n v="0"/>
    <n v="0.16363636363636364"/>
    <n v="4.7"/>
    <s v="1002504C (16%)"/>
  </r>
  <r>
    <x v="50"/>
    <s v="Shanta Motors Pvt. Ltd."/>
    <x v="225"/>
    <n v="2185"/>
    <s v="India-I"/>
    <s v="Nimbahera"/>
    <s v="Chittorgarh"/>
    <s v="Pratap C."/>
    <n v="0"/>
    <n v="0"/>
    <n v="40"/>
    <n v="50"/>
    <n v="100"/>
    <n v="0"/>
    <n v="0"/>
    <n v="0.25"/>
    <n v="5"/>
    <s v="1039201C (25%)"/>
  </r>
  <r>
    <x v="57"/>
    <s v="Speedworks Auto Private Limited"/>
    <x v="226"/>
    <n v="3225"/>
    <s v="India-II"/>
    <s v="Hazrat Ganj"/>
    <s v="Lucknow"/>
    <s v="Chirag Khanna"/>
    <n v="80"/>
    <n v="100"/>
    <n v="50"/>
    <n v="50"/>
    <n v="80"/>
    <n v="80"/>
    <n v="440"/>
    <n v="0.29126213592233008"/>
    <n v="5"/>
    <s v="10412 (29%)"/>
  </r>
  <r>
    <x v="13"/>
    <s v="EVM Motors &amp; Vehicles India Pvt Ltd"/>
    <x v="227"/>
    <n v="3346"/>
    <s v="India-II"/>
    <s v="Ayyankoikkal"/>
    <s v="Adoor"/>
    <m/>
    <n v="100"/>
    <n v="0"/>
    <n v="0"/>
    <n v="50"/>
    <n v="100"/>
    <n v="80"/>
    <n v="0"/>
    <n v="3.2407407407407406E-2"/>
    <n v="5"/>
    <s v="2037603C (3%)"/>
  </r>
  <r>
    <x v="74"/>
    <s v="(SPL) Sanwaria Automotive Pvt. Ltd"/>
    <x v="228"/>
    <n v="1468"/>
    <s v="India-II"/>
    <s v="NH 12 Road"/>
    <s v="Barasat"/>
    <m/>
    <n v="0"/>
    <n v="100"/>
    <n v="0"/>
    <n v="0"/>
    <n v="100"/>
    <n v="100"/>
    <n v="300"/>
    <n v="0.33823529411764708"/>
    <s v="Not Available"/>
    <s v="2041801C (34%)"/>
  </r>
  <r>
    <x v="67"/>
    <s v="RN Mobility Pvt. Ltd."/>
    <x v="229"/>
    <n v="1862"/>
    <s v="India-I"/>
    <s v="Talhedi"/>
    <s v="Roorkee"/>
    <m/>
    <n v="0"/>
    <n v="0"/>
    <n v="0"/>
    <n v="0"/>
    <n v="0"/>
    <n v="80"/>
    <n v="0"/>
    <n v="0.33333333333333331"/>
    <n v="4.7"/>
    <s v="10416 (33%)"/>
  </r>
  <r>
    <x v="75"/>
    <s v="Ramani Automotive Excellence Pvt. Ltd."/>
    <x v="230"/>
    <n v="1938"/>
    <s v="India-II"/>
    <s v="Seelapadi"/>
    <s v="Dindigul"/>
    <m/>
    <n v="0"/>
    <n v="100"/>
    <n v="0"/>
    <n v="0"/>
    <n v="80"/>
    <n v="0"/>
    <n v="0"/>
    <n v="0.28125"/>
    <n v="4.9000000000000004"/>
    <s v="1041101C (28%)"/>
  </r>
  <r>
    <x v="75"/>
    <s v="Ramani Automotive Excellence Pvt. Ltd."/>
    <x v="231"/>
    <n v="1938"/>
    <s v="India-II"/>
    <s v="Kappalur"/>
    <s v="Madurai"/>
    <m/>
    <n v="0"/>
    <n v="100"/>
    <n v="0"/>
    <n v="0"/>
    <n v="100"/>
    <n v="0"/>
    <n v="0"/>
    <n v="0.71875"/>
    <n v="5"/>
    <s v="10411 (72%)"/>
  </r>
  <r>
    <x v="76"/>
    <s v="Shyam Sangam Automobiles Pvt Ltd"/>
    <x v="232"/>
    <n v="2021"/>
    <s v="India-I"/>
    <s v="Geeta Bhawan Road"/>
    <s v="Indore"/>
    <m/>
    <n v="0"/>
    <n v="0"/>
    <n v="0"/>
    <n v="0"/>
    <n v="0"/>
    <n v="0"/>
    <n v="0"/>
    <n v="0.61904761904761907"/>
    <n v="4.9000000000000004"/>
    <s v="10415 (62%)"/>
  </r>
  <r>
    <x v="76"/>
    <s v="Shyam Sangam Automobiles Pvt Ltd"/>
    <x v="233"/>
    <n v="2021"/>
    <s v="India-I"/>
    <s v="Bhawarkuan Road"/>
    <s v="Indore"/>
    <m/>
    <n v="0"/>
    <n v="0"/>
    <n v="0"/>
    <n v="0"/>
    <n v="0"/>
    <n v="0"/>
    <n v="0"/>
    <n v="0.38095238095238093"/>
    <n v="5"/>
    <s v="1041501A (38%)"/>
  </r>
  <r>
    <x v="6"/>
    <s v="Berk Autozone LLP"/>
    <x v="234"/>
    <n v="1221"/>
    <s v="India-I"/>
    <s v="Mohali Citi Square"/>
    <s v="Zirakpur"/>
    <m/>
    <n v="0"/>
    <n v="100"/>
    <n v="0"/>
    <n v="0"/>
    <n v="0"/>
    <n v="0"/>
    <n v="0"/>
    <n v="0.18367346938775511"/>
    <n v="5"/>
    <s v="1039801A (18%)"/>
  </r>
  <r>
    <x v="7"/>
    <s v="BLC Autosales Pvt Ltd+Sidak Automobiles"/>
    <x v="235"/>
    <n v="1337"/>
    <s v="India-I"/>
    <m/>
    <s v="Kurukshetra"/>
    <m/>
    <n v="80"/>
    <n v="100"/>
    <n v="40"/>
    <n v="0"/>
    <n v="0"/>
    <n v="0"/>
    <n v="0"/>
    <n v="9.0909090909090912E-2"/>
    <n v="5"/>
    <s v="1010003A (9%)"/>
  </r>
  <r>
    <x v="59"/>
    <s v="Stellar Autohaus Pvt ltd  "/>
    <x v="236"/>
    <n v="2358"/>
    <s v="India-I"/>
    <m/>
    <s v="Gandhinagar"/>
    <m/>
    <n v="0"/>
    <n v="0"/>
    <n v="40"/>
    <n v="0"/>
    <n v="100"/>
    <n v="0"/>
    <n v="140"/>
    <n v="5.0209205020920501E-2"/>
    <n v="4.8"/>
    <s v="2031604C (5%)"/>
  </r>
  <r>
    <x v="74"/>
    <s v="(SPL) Sanwaria Automotive Pvt. Ltd"/>
    <x v="237"/>
    <n v="1468"/>
    <s v="India-II"/>
    <s v="NH 12 Road"/>
    <s v="Barasat"/>
    <m/>
    <n v="100"/>
    <n v="100"/>
    <n v="0"/>
    <n v="0"/>
    <n v="0"/>
    <n v="80"/>
    <n v="0"/>
    <n v="0.66176470588235292"/>
    <n v="4.9000000000000004"/>
    <s v="10417 (66%)"/>
  </r>
  <r>
    <x v="69"/>
    <s v="Buglee Automobiles Pvt. Ltd."/>
    <x v="238"/>
    <n v="3783"/>
    <s v="India-I"/>
    <s v="South Delhi"/>
    <s v="New Delhi"/>
    <m/>
    <n v="100"/>
    <n v="100"/>
    <n v="50"/>
    <n v="0"/>
    <n v="80"/>
    <n v="80"/>
    <n v="0"/>
    <n v="0.4"/>
    <n v="4.7"/>
    <s v="10420 (40%)"/>
  </r>
  <r>
    <x v="41"/>
    <s v="Prem Garages Pvt. Ltd"/>
    <x v="239"/>
    <n v="2861"/>
    <s v="India-II"/>
    <m/>
    <m/>
    <m/>
    <s v="-"/>
    <s v="-"/>
    <s v="-"/>
    <s v="-"/>
    <s v="-"/>
    <s v="-"/>
    <n v="0"/>
    <n v="0"/>
    <n v="0"/>
    <s v="1033601A (0%)"/>
  </r>
  <r>
    <x v="72"/>
    <s v="Karr Motor Ventures Pvt. Ltd"/>
    <x v="240"/>
    <n v="1998"/>
    <s v="India-II"/>
    <s v="Magadi Road"/>
    <s v="Bengaluru"/>
    <m/>
    <n v="80"/>
    <n v="100"/>
    <n v="40"/>
    <n v="50"/>
    <n v="80"/>
    <n v="0"/>
    <n v="350"/>
    <n v="0.34722222222222221"/>
    <n v="4.9000000000000004"/>
    <s v="1041001A (35%)"/>
  </r>
  <r>
    <x v="53"/>
    <s v="ShriBalaji AutoAgency Mysore Pvt. Ltd"/>
    <x v="241"/>
    <n v="2168"/>
    <s v="India-II"/>
    <s v="BM Road"/>
    <s v="Hassan"/>
    <s v="Paresh Hegde"/>
    <n v="0"/>
    <n v="0"/>
    <n v="50"/>
    <n v="0"/>
    <n v="100"/>
    <n v="0"/>
    <n v="0"/>
    <n v="0.1951219512195122"/>
    <n v="4.5999999999999996"/>
    <s v="1034301C (20%)"/>
  </r>
  <r>
    <x v="77"/>
    <s v="KNS Vinayak Autoventures Pvt Ltd"/>
    <x v="242"/>
    <n v="5957"/>
    <s v="India-I"/>
    <s v="Supela"/>
    <s v="Bhilai"/>
    <m/>
    <n v="0"/>
    <n v="0"/>
    <n v="50"/>
    <n v="0"/>
    <n v="0"/>
    <n v="80"/>
    <n v="0"/>
    <n v="0.28260869565217389"/>
    <n v="4.8"/>
    <s v="10419 (28%)"/>
  </r>
  <r>
    <x v="77"/>
    <s v="KNS Vinayak Autoventures Pvt Ltd"/>
    <x v="243"/>
    <n v="5957"/>
    <s v="India-I"/>
    <s v="Mowa"/>
    <s v="Raipur"/>
    <m/>
    <n v="0"/>
    <n v="0"/>
    <n v="50"/>
    <n v="0"/>
    <n v="0"/>
    <n v="0"/>
    <n v="0"/>
    <n v="0.52173913043478259"/>
    <n v="4.8"/>
    <s v="1041902C (52%)"/>
  </r>
  <r>
    <x v="58"/>
    <s v="SSB Automobiles Pvt Ltd"/>
    <x v="244"/>
    <n v="2343"/>
    <s v="India-II"/>
    <s v="Sohiong - A "/>
    <s v="Shillong"/>
    <m/>
    <n v="0"/>
    <n v="100"/>
    <n v="0"/>
    <n v="0"/>
    <n v="100"/>
    <n v="0"/>
    <n v="200"/>
    <n v="8.247422680412371E-2"/>
    <n v="5"/>
    <s v="1034605C (8%)"/>
  </r>
  <r>
    <x v="78"/>
    <s v="N.K. Motocorp Private Limited"/>
    <x v="245"/>
    <n v="2706"/>
    <s v="India-I"/>
    <s v="Delhi Rewari Road"/>
    <s v="Rewari"/>
    <m/>
    <n v="0"/>
    <n v="0"/>
    <n v="40"/>
    <n v="0"/>
    <n v="0"/>
    <n v="0"/>
    <n v="0"/>
    <n v="1"/>
    <n v="4.8"/>
    <s v="10422 (100%)"/>
  </r>
  <r>
    <x v="26"/>
    <s v="Krishna Auto Sales "/>
    <x v="246"/>
    <n v="1094"/>
    <s v="India-I"/>
    <s v="Jalandhar Road"/>
    <s v="Hoshiarpur"/>
    <m/>
    <n v="0"/>
    <n v="100"/>
    <n v="40"/>
    <n v="50"/>
    <n v="100"/>
    <n v="100"/>
    <n v="390"/>
    <n v="0.10144927536231885"/>
    <n v="5"/>
    <s v="1001801C (10%)"/>
  </r>
  <r>
    <x v="26"/>
    <s v="Krishna Auto Sales "/>
    <x v="247"/>
    <n v="1094"/>
    <s v="India-I"/>
    <s v="Ferozepur Road"/>
    <s v="Ludhiana"/>
    <m/>
    <n v="80"/>
    <n v="0"/>
    <n v="40"/>
    <n v="50"/>
    <n v="100"/>
    <n v="0"/>
    <n v="270"/>
    <n v="0.10144927536231885"/>
    <n v="4.9000000000000004"/>
    <s v="1001701A (10%)"/>
  </r>
  <r>
    <x v="31"/>
    <s v="MM Auto Sales Pvt Ltd."/>
    <x v="248"/>
    <n v="2958"/>
    <s v="India-II"/>
    <s v="Pargana - Magalsi"/>
    <s v="Ayodhya"/>
    <m/>
    <n v="0"/>
    <n v="80"/>
    <n v="0"/>
    <n v="0"/>
    <n v="100"/>
    <n v="0"/>
    <n v="0"/>
    <n v="0.34482758620689657"/>
    <n v="5"/>
    <s v="1039301C (34%)"/>
  </r>
  <r>
    <x v="77"/>
    <s v="KNS Vinayak Autoventures Pvt Ltd"/>
    <x v="249"/>
    <n v="5957"/>
    <s v="India-I"/>
    <s v="Geedam Road"/>
    <s v="Jagdalpur"/>
    <m/>
    <n v="0"/>
    <n v="0"/>
    <n v="50"/>
    <n v="0"/>
    <n v="0"/>
    <n v="0"/>
    <n v="0"/>
    <n v="0.19565217391304349"/>
    <n v="5"/>
    <s v="1041903C (20%)"/>
  </r>
  <r>
    <x v="71"/>
    <s v="Gurukrupa Cars Pvt. Ltd."/>
    <x v="250"/>
    <n v="4121"/>
    <s v="India-I"/>
    <s v="Wajegaon"/>
    <s v="Nanded"/>
    <m/>
    <n v="0"/>
    <n v="0"/>
    <n v="0"/>
    <n v="50"/>
    <n v="0"/>
    <n v="0"/>
    <n v="0"/>
    <n v="0.28000000000000003"/>
    <n v="5"/>
    <s v="1040502C (28%)"/>
  </r>
  <r>
    <x v="79"/>
    <s v="Dunac Autoworld Private Limited"/>
    <x v="251"/>
    <n v="2003"/>
    <s v="India-I"/>
    <s v="Gangashahar"/>
    <s v="Bikaner"/>
    <m/>
    <n v="0"/>
    <n v="0"/>
    <n v="0"/>
    <n v="50"/>
    <n v="80"/>
    <n v="100"/>
    <n v="230"/>
    <n v="1"/>
    <n v="5"/>
    <s v="10423 (100%)"/>
  </r>
  <r>
    <x v="70"/>
    <s v="Dhone Mobility Pvt. Ltd."/>
    <x v="252"/>
    <n v="2398"/>
    <s v="India-I"/>
    <s v="Morgaon Road"/>
    <s v="Baramati"/>
    <m/>
    <n v="0"/>
    <n v="0"/>
    <n v="0"/>
    <n v="50"/>
    <n v="80"/>
    <n v="0"/>
    <n v="130"/>
    <n v="0.12643678160919541"/>
    <n v="5"/>
    <s v="1040701C (13%)"/>
  </r>
  <r>
    <x v="1"/>
    <s v="(Trinity) Durgesh Motors Pvt. Ltd. "/>
    <x v="253"/>
    <n v="4496"/>
    <s v="India-II"/>
    <s v="Remuna"/>
    <s v="Balasore"/>
    <m/>
    <n v="0"/>
    <n v="0"/>
    <n v="0"/>
    <n v="50"/>
    <n v="100"/>
    <n v="0"/>
    <n v="150"/>
    <n v="0.12328767123287671"/>
    <n v="5"/>
    <s v="1029603C (12%)"/>
  </r>
  <r>
    <x v="80"/>
    <s v="Krown Mobility Private Limited"/>
    <x v="254"/>
    <n v="1102"/>
    <s v="India-I"/>
    <s v="J.K Road"/>
    <s v="Bhopal"/>
    <m/>
    <n v="0"/>
    <n v="0"/>
    <n v="0"/>
    <n v="0"/>
    <n v="0"/>
    <n v="0"/>
    <n v="0"/>
    <n v="1"/>
    <s v="Not Available"/>
    <s v="10424 (100%)"/>
  </r>
  <r>
    <x v="80"/>
    <s v="Krown Mobility Private Limited"/>
    <x v="255"/>
    <n v="1102"/>
    <s v="India-I"/>
    <s v="Baheriya"/>
    <s v="Sagar"/>
    <m/>
    <n v="0"/>
    <n v="0"/>
    <n v="0"/>
    <n v="0"/>
    <n v="0"/>
    <n v="0"/>
    <n v="0"/>
    <n v="0"/>
    <s v="Not Available"/>
    <s v="1042402A (0%)"/>
  </r>
  <r>
    <x v="33"/>
    <s v="Mody India Cars Pvt Ltd_TL"/>
    <x v="256"/>
    <n v="3117"/>
    <s v="India-II"/>
    <s v="Raidurg"/>
    <s v="Hyderabad"/>
    <m/>
    <n v="0"/>
    <n v="100"/>
    <n v="40"/>
    <n v="50"/>
    <n v="100"/>
    <n v="0"/>
    <n v="290"/>
    <n v="0.10256410256410256"/>
    <n v="5"/>
    <s v="2036803A (10%)"/>
  </r>
  <r>
    <x v="36"/>
    <s v="Patni Autoventures LLP"/>
    <x v="257"/>
    <n v="2100"/>
    <s v="India-I"/>
    <s v="Great Nag Road"/>
    <s v="Nagpur"/>
    <m/>
    <n v="0"/>
    <n v="100"/>
    <n v="50"/>
    <n v="0"/>
    <n v="80"/>
    <n v="80"/>
    <n v="310"/>
    <n v="0.1326530612244898"/>
    <n v="4.9000000000000004"/>
    <s v="1037803A (13%)"/>
  </r>
  <r>
    <x v="81"/>
    <s v="-"/>
    <x v="258"/>
    <s v="-"/>
    <s v="-"/>
    <s v="-"/>
    <s v="-"/>
    <s v="-"/>
    <s v="-"/>
    <s v="-"/>
    <s v="-"/>
    <s v="-"/>
    <s v="-"/>
    <s v="-"/>
    <n v="0"/>
    <s v="-"/>
    <s v="-"/>
    <s v="-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2643ED-03F9-409A-9DE6-6431C93F7224}" name="PivotTable5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multipleFieldFilters="0" chartFormat="47" rowHeaderCaption="KVPS">
  <location ref="AG4:AH9" firstHeaderRow="1" firstDataRow="1" firstDataCol="1" rowPageCount="1" colPageCount="1"/>
  <pivotFields count="18">
    <pivotField axis="axisPage" showAll="0">
      <items count="94">
        <item x="2"/>
        <item x="3"/>
        <item x="5"/>
        <item x="1"/>
        <item m="1" x="91"/>
        <item x="6"/>
        <item x="8"/>
        <item x="9"/>
        <item x="10"/>
        <item x="11"/>
        <item x="12"/>
        <item x="13"/>
        <item x="14"/>
        <item m="1" x="85"/>
        <item x="15"/>
        <item x="16"/>
        <item x="17"/>
        <item x="18"/>
        <item x="19"/>
        <item x="20"/>
        <item x="21"/>
        <item x="22"/>
        <item m="1" x="82"/>
        <item x="24"/>
        <item x="25"/>
        <item x="26"/>
        <item m="1" x="86"/>
        <item x="27"/>
        <item x="28"/>
        <item x="29"/>
        <item x="30"/>
        <item x="31"/>
        <item x="32"/>
        <item m="1" x="84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9"/>
        <item x="50"/>
        <item x="51"/>
        <item x="52"/>
        <item x="53"/>
        <item x="54"/>
        <item x="4"/>
        <item x="55"/>
        <item x="56"/>
        <item m="1" x="83"/>
        <item x="58"/>
        <item x="59"/>
        <item x="60"/>
        <item x="0"/>
        <item x="61"/>
        <item x="62"/>
        <item x="63"/>
        <item x="64"/>
        <item x="65"/>
        <item m="1" x="88"/>
        <item m="1" x="92"/>
        <item x="48"/>
        <item x="81"/>
        <item x="7"/>
        <item x="79"/>
        <item x="67"/>
        <item x="68"/>
        <item x="69"/>
        <item x="70"/>
        <item m="1" x="90"/>
        <item x="78"/>
        <item x="76"/>
        <item m="1" x="89"/>
        <item x="71"/>
        <item x="72"/>
        <item x="73"/>
        <item x="66"/>
        <item m="1" x="87"/>
        <item x="77"/>
        <item x="74"/>
        <item x="75"/>
        <item x="47"/>
        <item x="57"/>
        <item x="80"/>
        <item x="23"/>
        <item t="default"/>
      </items>
    </pivotField>
    <pivotField showAll="0"/>
    <pivotField axis="axisRow" showAll="0">
      <items count="114">
        <item x="36"/>
        <item x="38"/>
        <item x="37"/>
        <item x="69"/>
        <item x="68"/>
        <item x="32"/>
        <item x="75"/>
        <item x="78"/>
        <item x="30"/>
        <item x="15"/>
        <item x="7"/>
        <item x="11"/>
        <item m="1" x="112"/>
        <item x="4"/>
        <item x="6"/>
        <item x="59"/>
        <item x="73"/>
        <item x="0"/>
        <item x="60"/>
        <item m="1" x="111"/>
        <item x="21"/>
        <item x="10"/>
        <item x="20"/>
        <item x="13"/>
        <item x="50"/>
        <item x="77"/>
        <item x="76"/>
        <item m="1" x="110"/>
        <item x="79"/>
        <item x="57"/>
        <item x="51"/>
        <item x="62"/>
        <item x="71"/>
        <item x="45"/>
        <item x="87"/>
        <item x="35"/>
        <item x="28"/>
        <item x="34"/>
        <item x="42"/>
        <item x="29"/>
        <item x="41"/>
        <item x="1"/>
        <item x="2"/>
        <item x="3"/>
        <item x="5"/>
        <item m="1" x="109"/>
        <item x="8"/>
        <item x="9"/>
        <item x="12"/>
        <item x="14"/>
        <item x="16"/>
        <item x="17"/>
        <item x="18"/>
        <item x="19"/>
        <item x="22"/>
        <item x="23"/>
        <item x="24"/>
        <item x="25"/>
        <item m="1" x="108"/>
        <item x="27"/>
        <item x="31"/>
        <item x="33"/>
        <item x="39"/>
        <item x="40"/>
        <item x="43"/>
        <item x="44"/>
        <item x="46"/>
        <item x="47"/>
        <item x="48"/>
        <item x="49"/>
        <item x="52"/>
        <item x="53"/>
        <item x="54"/>
        <item x="55"/>
        <item x="56"/>
        <item x="58"/>
        <item x="61"/>
        <item x="63"/>
        <item x="64"/>
        <item x="65"/>
        <item x="66"/>
        <item x="67"/>
        <item x="70"/>
        <item x="72"/>
        <item x="74"/>
        <item x="80"/>
        <item x="81"/>
        <item x="82"/>
        <item x="83"/>
        <item x="84"/>
        <item x="85"/>
        <item x="86"/>
        <item x="88"/>
        <item x="89"/>
        <item x="107"/>
        <item x="90"/>
        <item x="91"/>
        <item x="92"/>
        <item x="93"/>
        <item x="94"/>
        <item x="98"/>
        <item x="95"/>
        <item x="103"/>
        <item x="96"/>
        <item x="97"/>
        <item x="99"/>
        <item x="100"/>
        <item x="101"/>
        <item x="102"/>
        <item x="104"/>
        <item x="105"/>
        <item x="106"/>
        <item x="2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showAll="0"/>
    <pivotField numFmtId="1" showAll="0"/>
    <pivotField numFmtId="1" showAll="0"/>
    <pivotField numFmtId="9" showAll="0"/>
    <pivotField dataField="1" numFmtId="2" showAll="0"/>
    <pivotField showAll="0"/>
  </pivotFields>
  <rowFields count="1">
    <field x="2"/>
  </rowFields>
  <rowItems count="5">
    <i>
      <x v="8"/>
    </i>
    <i>
      <x v="36"/>
    </i>
    <i>
      <x v="39"/>
    </i>
    <i>
      <x v="59"/>
    </i>
    <i>
      <x v="109"/>
    </i>
  </rowItems>
  <colItems count="1">
    <i/>
  </colItems>
  <pageFields count="1">
    <pageField fld="0" item="23" hier="-1"/>
  </pageFields>
  <dataFields count="1">
    <dataField name="Service GMB " fld="16" baseField="2" baseItem="25" numFmtId="2"/>
  </dataFields>
  <formats count="19">
    <format dxfId="18">
      <pivotArea outline="0" collapsedLevelsAreSubtotals="1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2" type="button" dataOnly="0" labelOnly="1" outline="0" axis="axisRow" fieldPosition="0"/>
    </format>
    <format dxfId="14">
      <pivotArea dataOnly="0" labelOnly="1" grandRow="1" outline="0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2" type="button" dataOnly="0" labelOnly="1" outline="0" axis="axisRow" fieldPosition="0"/>
    </format>
    <format dxfId="10">
      <pivotArea dataOnly="0" labelOnly="1" grandRow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2" type="button" dataOnly="0" labelOnly="1" outline="0" axis="axisRow" fieldPosition="0"/>
    </format>
    <format dxfId="6">
      <pivotArea dataOnly="0" labelOnly="1" grandRow="1" outline="0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2" type="button" dataOnly="0" labelOnly="1" outline="0" axis="axisRow" fieldPosition="0"/>
    </format>
    <format dxfId="2">
      <pivotArea dataOnly="0" labelOnly="1" grandRow="1" outline="0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2">
    <chartFormat chart="4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4D46C4-A1B6-4EA7-BCA0-7F847A8693F1}" name="PivotTable4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multipleFieldFilters="0" chartFormat="64" rowHeaderCaption="KVPS">
  <location ref="AD4:AE11" firstHeaderRow="1" firstDataRow="1" firstDataCol="1" rowPageCount="1" colPageCount="1"/>
  <pivotFields count="18">
    <pivotField axis="axisPage" showAll="0">
      <items count="95">
        <item x="0"/>
        <item x="1"/>
        <item x="2"/>
        <item x="3"/>
        <item m="1" x="92"/>
        <item x="4"/>
        <item x="5"/>
        <item x="6"/>
        <item x="7"/>
        <item x="8"/>
        <item x="9"/>
        <item x="10"/>
        <item x="11"/>
        <item m="1" x="86"/>
        <item x="12"/>
        <item x="13"/>
        <item x="14"/>
        <item x="15"/>
        <item x="16"/>
        <item x="17"/>
        <item x="18"/>
        <item x="19"/>
        <item m="1" x="82"/>
        <item x="21"/>
        <item x="22"/>
        <item x="23"/>
        <item m="1" x="87"/>
        <item x="24"/>
        <item x="25"/>
        <item x="26"/>
        <item x="27"/>
        <item x="28"/>
        <item x="29"/>
        <item m="1" x="85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m="1" x="84"/>
        <item x="55"/>
        <item x="56"/>
        <item x="57"/>
        <item x="58"/>
        <item x="59"/>
        <item x="60"/>
        <item x="61"/>
        <item x="62"/>
        <item x="63"/>
        <item m="1" x="90"/>
        <item x="65"/>
        <item m="1" x="93"/>
        <item x="67"/>
        <item x="68"/>
        <item x="81"/>
        <item x="66"/>
        <item x="69"/>
        <item x="70"/>
        <item m="1" x="91"/>
        <item x="71"/>
        <item x="72"/>
        <item x="73"/>
        <item x="74"/>
        <item x="75"/>
        <item x="76"/>
        <item x="64"/>
        <item m="1" x="88"/>
        <item m="1" x="89"/>
        <item x="77"/>
        <item x="78"/>
        <item x="79"/>
        <item x="30"/>
        <item x="54"/>
        <item x="80"/>
        <item m="1" x="83"/>
        <item x="20"/>
        <item t="default"/>
      </items>
    </pivotField>
    <pivotField showAll="0"/>
    <pivotField axis="axisRow" showAll="0">
      <items count="266">
        <item x="90"/>
        <item x="74"/>
        <item x="76"/>
        <item x="75"/>
        <item x="193"/>
        <item x="145"/>
        <item x="144"/>
        <item x="68"/>
        <item x="18"/>
        <item x="168"/>
        <item x="61"/>
        <item x="192"/>
        <item x="28"/>
        <item x="89"/>
        <item x="10"/>
        <item m="1" x="264"/>
        <item x="71"/>
        <item x="15"/>
        <item x="139"/>
        <item m="1" x="262"/>
        <item x="200"/>
        <item m="1" x="259"/>
        <item m="1" x="263"/>
        <item x="3"/>
        <item x="30"/>
        <item x="8"/>
        <item x="177"/>
        <item x="47"/>
        <item x="179"/>
        <item x="33"/>
        <item x="21"/>
        <item x="178"/>
        <item x="147"/>
        <item x="155"/>
        <item x="126"/>
        <item x="111"/>
        <item x="32"/>
        <item x="43"/>
        <item x="148"/>
        <item x="160"/>
        <item x="94"/>
        <item x="176"/>
        <item x="112"/>
        <item x="80"/>
        <item x="127"/>
        <item x="121"/>
        <item x="130"/>
        <item x="154"/>
        <item x="187"/>
        <item x="81"/>
        <item m="1" x="261"/>
        <item x="41"/>
        <item x="95"/>
        <item x="14"/>
        <item x="91"/>
        <item x="40"/>
        <item x="92"/>
        <item x="27"/>
        <item x="12"/>
        <item x="54"/>
        <item x="25"/>
        <item x="97"/>
        <item x="170"/>
        <item x="100"/>
        <item x="108"/>
        <item x="166"/>
        <item x="165"/>
        <item m="1" x="260"/>
        <item x="169"/>
        <item x="34"/>
        <item x="67"/>
        <item x="105"/>
        <item x="9"/>
        <item x="1"/>
        <item x="119"/>
        <item x="120"/>
        <item x="103"/>
        <item x="133"/>
        <item x="0"/>
        <item x="153"/>
        <item x="93"/>
        <item x="198"/>
        <item x="199"/>
        <item x="73"/>
        <item x="203"/>
        <item x="45"/>
        <item x="201"/>
        <item x="205"/>
        <item x="206"/>
        <item x="210"/>
        <item x="162"/>
        <item x="66"/>
        <item x="62"/>
        <item x="137"/>
        <item x="72"/>
        <item x="194"/>
        <item x="82"/>
        <item x="60"/>
        <item x="83"/>
        <item x="87"/>
        <item x="88"/>
        <item x="146"/>
        <item x="164"/>
        <item x="163"/>
        <item x="19"/>
        <item x="20"/>
        <item x="63"/>
        <item x="136"/>
        <item x="138"/>
        <item x="195"/>
        <item x="29"/>
        <item x="11"/>
        <item x="150"/>
        <item x="151"/>
        <item x="152"/>
        <item x="69"/>
        <item x="16"/>
        <item x="17"/>
        <item x="141"/>
        <item x="204"/>
        <item x="212"/>
        <item x="5"/>
        <item x="4"/>
        <item x="31"/>
        <item x="6"/>
        <item x="7"/>
        <item x="181"/>
        <item x="48"/>
        <item x="49"/>
        <item x="50"/>
        <item x="35"/>
        <item x="37"/>
        <item x="38"/>
        <item x="186"/>
        <item x="149"/>
        <item x="118"/>
        <item x="36"/>
        <item x="44"/>
        <item x="161"/>
        <item x="172"/>
        <item x="173"/>
        <item x="174"/>
        <item x="175"/>
        <item x="117"/>
        <item x="128"/>
        <item x="129"/>
        <item x="122"/>
        <item x="124"/>
        <item x="125"/>
        <item x="132"/>
        <item x="131"/>
        <item x="188"/>
        <item x="77"/>
        <item x="79"/>
        <item x="42"/>
        <item x="96"/>
        <item x="52"/>
        <item x="26"/>
        <item x="171"/>
        <item x="101"/>
        <item x="102"/>
        <item x="167"/>
        <item x="106"/>
        <item x="2"/>
        <item x="104"/>
        <item x="134"/>
        <item x="207"/>
        <item x="202"/>
        <item x="46"/>
        <item x="211"/>
        <item x="65"/>
        <item x="70"/>
        <item x="140"/>
        <item x="142"/>
        <item x="143"/>
        <item x="180"/>
        <item x="182"/>
        <item x="184"/>
        <item x="185"/>
        <item x="208"/>
        <item x="23"/>
        <item x="24"/>
        <item x="22"/>
        <item x="183"/>
        <item x="157"/>
        <item x="156"/>
        <item x="158"/>
        <item x="159"/>
        <item x="113"/>
        <item x="116"/>
        <item x="114"/>
        <item x="115"/>
        <item x="39"/>
        <item x="123"/>
        <item x="190"/>
        <item x="189"/>
        <item x="191"/>
        <item x="78"/>
        <item x="13"/>
        <item x="51"/>
        <item x="53"/>
        <item x="98"/>
        <item x="99"/>
        <item x="109"/>
        <item x="110"/>
        <item x="209"/>
        <item x="107"/>
        <item x="197"/>
        <item x="85"/>
        <item x="196"/>
        <item x="64"/>
        <item x="84"/>
        <item x="86"/>
        <item x="258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135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55"/>
        <item x="56"/>
        <item x="57"/>
        <item x="58"/>
        <item x="59"/>
        <item t="default"/>
      </items>
    </pivotField>
    <pivotField showAll="0"/>
    <pivotField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numFmtId="1" showAll="0"/>
    <pivotField numFmtId="2" showAll="0"/>
    <pivotField numFmtId="1" showAll="0"/>
    <pivotField numFmtId="9" showAll="0"/>
    <pivotField dataField="1" numFmtId="2" showAll="0"/>
    <pivotField showAll="0"/>
  </pivotFields>
  <rowFields count="1">
    <field x="2"/>
  </rowFields>
  <rowItems count="7">
    <i>
      <x v="10"/>
    </i>
    <i>
      <x v="91"/>
    </i>
    <i>
      <x v="92"/>
    </i>
    <i>
      <x v="97"/>
    </i>
    <i>
      <x v="106"/>
    </i>
    <i>
      <x v="170"/>
    </i>
    <i>
      <x v="210"/>
    </i>
  </rowItems>
  <colItems count="1">
    <i/>
  </colItems>
  <pageFields count="1">
    <pageField fld="0" item="23" hier="-1"/>
  </pageFields>
  <dataFields count="1">
    <dataField name="Sales GMB" fld="16" baseField="2" baseItem="25" numFmtId="2"/>
  </dataFields>
  <formats count="20">
    <format dxfId="38">
      <pivotArea outline="0" collapsedLevelsAreSubtotals="1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2" type="button" dataOnly="0" labelOnly="1" outline="0" axis="axisRow" fieldPosition="0"/>
    </format>
    <format dxfId="34">
      <pivotArea dataOnly="0" labelOnly="1" grandRow="1" outline="0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2" type="button" dataOnly="0" labelOnly="1" outline="0" axis="axisRow" fieldPosition="0"/>
    </format>
    <format dxfId="30">
      <pivotArea dataOnly="0" labelOnly="1" grandRow="1" outline="0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2" type="button" dataOnly="0" labelOnly="1" outline="0" axis="axisRow" fieldPosition="0"/>
    </format>
    <format dxfId="26">
      <pivotArea dataOnly="0" labelOnly="1" grandRow="1" outline="0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2" type="button" dataOnly="0" labelOnly="1" outline="0" axis="axisRow" fieldPosition="0"/>
    </format>
    <format dxfId="22">
      <pivotArea dataOnly="0" labelOnly="1" grandRow="1" outline="0" fieldPosition="0"/>
    </format>
    <format dxfId="21">
      <pivotArea field="2" type="button" dataOnly="0" labelOnly="1" outline="0" axis="axisRow" fieldPosition="0"/>
    </format>
    <format dxfId="20">
      <pivotArea dataOnly="0" labelOnly="1" outline="0" axis="axisValues" fieldPosition="0"/>
    </format>
    <format dxfId="19">
      <pivotArea dataOnly="0" labelOnly="1" outline="0" axis="axisValues" fieldPosition="0"/>
    </format>
  </formats>
  <chartFormats count="2">
    <chartFormat chart="6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8A1BE0-F4B8-44FB-BA41-9E725D735DF0}" name="PivotTable3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multipleFieldFilters="0" chartFormat="31">
  <location ref="AA4:AB9" firstHeaderRow="1" firstDataRow="1" firstDataCol="1" rowPageCount="1" colPageCount="1"/>
  <pivotFields count="18">
    <pivotField axis="axisPage" showAll="0">
      <items count="94">
        <item x="2"/>
        <item x="3"/>
        <item x="5"/>
        <item x="1"/>
        <item m="1" x="91"/>
        <item x="6"/>
        <item x="8"/>
        <item x="9"/>
        <item x="10"/>
        <item x="11"/>
        <item x="12"/>
        <item x="13"/>
        <item x="14"/>
        <item m="1" x="85"/>
        <item x="15"/>
        <item x="16"/>
        <item x="17"/>
        <item x="18"/>
        <item x="19"/>
        <item x="20"/>
        <item x="21"/>
        <item x="22"/>
        <item m="1" x="82"/>
        <item x="24"/>
        <item x="25"/>
        <item x="26"/>
        <item m="1" x="86"/>
        <item x="27"/>
        <item x="28"/>
        <item x="29"/>
        <item x="30"/>
        <item x="31"/>
        <item x="32"/>
        <item m="1" x="84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9"/>
        <item x="50"/>
        <item x="51"/>
        <item x="52"/>
        <item x="53"/>
        <item x="54"/>
        <item x="4"/>
        <item x="55"/>
        <item x="56"/>
        <item m="1" x="83"/>
        <item x="58"/>
        <item x="59"/>
        <item x="60"/>
        <item x="0"/>
        <item x="61"/>
        <item x="62"/>
        <item x="63"/>
        <item x="64"/>
        <item x="65"/>
        <item m="1" x="88"/>
        <item m="1" x="92"/>
        <item x="48"/>
        <item x="81"/>
        <item x="7"/>
        <item x="79"/>
        <item x="67"/>
        <item x="68"/>
        <item x="69"/>
        <item x="70"/>
        <item m="1" x="90"/>
        <item x="78"/>
        <item x="76"/>
        <item m="1" x="89"/>
        <item x="71"/>
        <item x="72"/>
        <item x="73"/>
        <item x="66"/>
        <item m="1" x="87"/>
        <item x="77"/>
        <item x="74"/>
        <item x="75"/>
        <item x="47"/>
        <item x="57"/>
        <item x="80"/>
        <item x="23"/>
        <item t="default"/>
      </items>
    </pivotField>
    <pivotField showAll="0"/>
    <pivotField axis="axisRow" showAll="0">
      <items count="114">
        <item x="36"/>
        <item x="38"/>
        <item x="37"/>
        <item x="69"/>
        <item x="68"/>
        <item x="32"/>
        <item x="75"/>
        <item x="78"/>
        <item x="30"/>
        <item x="15"/>
        <item x="7"/>
        <item x="11"/>
        <item m="1" x="112"/>
        <item x="4"/>
        <item x="6"/>
        <item x="59"/>
        <item x="73"/>
        <item x="0"/>
        <item x="60"/>
        <item m="1" x="111"/>
        <item x="21"/>
        <item x="10"/>
        <item x="20"/>
        <item x="13"/>
        <item x="50"/>
        <item x="77"/>
        <item x="76"/>
        <item m="1" x="110"/>
        <item x="79"/>
        <item x="57"/>
        <item x="51"/>
        <item x="62"/>
        <item x="71"/>
        <item x="45"/>
        <item x="87"/>
        <item x="35"/>
        <item x="28"/>
        <item x="34"/>
        <item x="42"/>
        <item x="29"/>
        <item x="41"/>
        <item x="1"/>
        <item x="2"/>
        <item x="3"/>
        <item x="5"/>
        <item m="1" x="109"/>
        <item x="8"/>
        <item x="9"/>
        <item x="12"/>
        <item x="14"/>
        <item x="16"/>
        <item x="17"/>
        <item x="18"/>
        <item x="19"/>
        <item x="22"/>
        <item x="23"/>
        <item x="24"/>
        <item x="25"/>
        <item m="1" x="108"/>
        <item x="27"/>
        <item x="31"/>
        <item x="33"/>
        <item x="39"/>
        <item x="40"/>
        <item x="43"/>
        <item x="44"/>
        <item x="46"/>
        <item x="47"/>
        <item x="48"/>
        <item x="49"/>
        <item x="52"/>
        <item x="53"/>
        <item x="54"/>
        <item x="55"/>
        <item x="56"/>
        <item x="58"/>
        <item x="61"/>
        <item x="63"/>
        <item x="64"/>
        <item x="65"/>
        <item x="66"/>
        <item x="67"/>
        <item x="70"/>
        <item x="72"/>
        <item x="74"/>
        <item x="80"/>
        <item x="81"/>
        <item x="82"/>
        <item x="83"/>
        <item x="84"/>
        <item x="85"/>
        <item x="86"/>
        <item x="88"/>
        <item x="89"/>
        <item x="107"/>
        <item x="90"/>
        <item x="91"/>
        <item x="92"/>
        <item x="93"/>
        <item x="94"/>
        <item x="98"/>
        <item x="95"/>
        <item x="103"/>
        <item x="96"/>
        <item x="97"/>
        <item x="99"/>
        <item x="100"/>
        <item x="101"/>
        <item x="102"/>
        <item x="104"/>
        <item x="105"/>
        <item x="106"/>
        <item x="2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showAll="0"/>
    <pivotField numFmtId="1" showAll="0"/>
    <pivotField numFmtId="1" showAll="0"/>
    <pivotField dataField="1" numFmtId="9" showAll="0"/>
    <pivotField numFmtId="2" showAll="0"/>
    <pivotField showAll="0"/>
  </pivotFields>
  <rowFields count="1">
    <field x="2"/>
  </rowFields>
  <rowItems count="5">
    <i>
      <x v="8"/>
    </i>
    <i>
      <x v="36"/>
    </i>
    <i>
      <x v="39"/>
    </i>
    <i>
      <x v="59"/>
    </i>
    <i>
      <x v="109"/>
    </i>
  </rowItems>
  <colItems count="1">
    <i/>
  </colItems>
  <pageFields count="1">
    <pageField fld="0" item="23" hier="-1"/>
  </pageFields>
  <dataFields count="1">
    <dataField name="Sum of Outlet Weightage" fld="15" baseField="0" baseItem="0" numFmtId="9"/>
  </dataFields>
  <formats count="17">
    <format dxfId="55">
      <pivotArea outline="0" collapsedLevelsAreSubtotals="1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2" type="button" dataOnly="0" labelOnly="1" outline="0" axis="axisRow" fieldPosition="0"/>
    </format>
    <format dxfId="51">
      <pivotArea dataOnly="0" labelOnly="1" grandRow="1" outline="0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2" type="button" dataOnly="0" labelOnly="1" outline="0" axis="axisRow" fieldPosition="0"/>
    </format>
    <format dxfId="47">
      <pivotArea dataOnly="0" labelOnly="1" grandRow="1" outline="0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2" type="button" dataOnly="0" labelOnly="1" outline="0" axis="axisRow" fieldPosition="0"/>
    </format>
    <format dxfId="43">
      <pivotArea dataOnly="0" labelOnly="1" grandRow="1" outline="0" fieldPosition="0"/>
    </format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2" type="button" dataOnly="0" labelOnly="1" outline="0" axis="axisRow" fieldPosition="0"/>
    </format>
    <format dxfId="3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754A0-1558-4F97-87DE-DF1130F77557}" name="PivotTable2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multipleFieldFilters="0" chartFormat="37">
  <location ref="X4:Y11" firstHeaderRow="1" firstDataRow="1" firstDataCol="1" rowPageCount="1" colPageCount="1"/>
  <pivotFields count="18">
    <pivotField axis="axisPage" showAll="0">
      <items count="95">
        <item x="0"/>
        <item x="1"/>
        <item x="2"/>
        <item x="3"/>
        <item m="1" x="92"/>
        <item x="4"/>
        <item x="5"/>
        <item x="6"/>
        <item x="7"/>
        <item x="8"/>
        <item x="9"/>
        <item x="10"/>
        <item x="11"/>
        <item m="1" x="86"/>
        <item x="12"/>
        <item x="13"/>
        <item x="14"/>
        <item x="15"/>
        <item x="16"/>
        <item x="17"/>
        <item x="18"/>
        <item x="19"/>
        <item m="1" x="82"/>
        <item x="21"/>
        <item x="22"/>
        <item x="23"/>
        <item m="1" x="87"/>
        <item x="24"/>
        <item x="25"/>
        <item x="26"/>
        <item x="27"/>
        <item x="28"/>
        <item x="29"/>
        <item m="1" x="85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m="1" x="84"/>
        <item x="55"/>
        <item x="56"/>
        <item x="57"/>
        <item x="58"/>
        <item x="59"/>
        <item x="60"/>
        <item x="61"/>
        <item x="62"/>
        <item x="63"/>
        <item m="1" x="90"/>
        <item x="65"/>
        <item m="1" x="93"/>
        <item x="67"/>
        <item x="68"/>
        <item x="81"/>
        <item x="66"/>
        <item x="69"/>
        <item x="70"/>
        <item m="1" x="91"/>
        <item x="71"/>
        <item x="72"/>
        <item x="73"/>
        <item x="74"/>
        <item x="75"/>
        <item x="76"/>
        <item x="64"/>
        <item m="1" x="88"/>
        <item m="1" x="89"/>
        <item x="77"/>
        <item x="78"/>
        <item x="79"/>
        <item x="30"/>
        <item x="54"/>
        <item x="80"/>
        <item m="1" x="83"/>
        <item x="20"/>
        <item t="default"/>
      </items>
    </pivotField>
    <pivotField showAll="0"/>
    <pivotField axis="axisRow" showAll="0">
      <items count="266">
        <item x="90"/>
        <item x="74"/>
        <item x="76"/>
        <item x="75"/>
        <item x="193"/>
        <item x="145"/>
        <item x="144"/>
        <item x="68"/>
        <item x="18"/>
        <item x="168"/>
        <item x="61"/>
        <item x="192"/>
        <item x="28"/>
        <item x="89"/>
        <item x="10"/>
        <item m="1" x="264"/>
        <item x="71"/>
        <item x="15"/>
        <item x="139"/>
        <item m="1" x="262"/>
        <item x="200"/>
        <item m="1" x="259"/>
        <item m="1" x="263"/>
        <item x="3"/>
        <item x="30"/>
        <item x="8"/>
        <item x="177"/>
        <item x="47"/>
        <item x="179"/>
        <item x="33"/>
        <item x="21"/>
        <item x="178"/>
        <item x="147"/>
        <item x="155"/>
        <item x="126"/>
        <item x="111"/>
        <item x="32"/>
        <item x="43"/>
        <item x="148"/>
        <item x="160"/>
        <item x="94"/>
        <item x="176"/>
        <item x="112"/>
        <item x="80"/>
        <item x="127"/>
        <item x="121"/>
        <item x="130"/>
        <item x="154"/>
        <item x="187"/>
        <item x="81"/>
        <item m="1" x="261"/>
        <item x="41"/>
        <item x="95"/>
        <item x="14"/>
        <item x="91"/>
        <item x="40"/>
        <item x="92"/>
        <item x="27"/>
        <item x="12"/>
        <item x="54"/>
        <item x="25"/>
        <item x="97"/>
        <item x="170"/>
        <item x="100"/>
        <item x="108"/>
        <item x="166"/>
        <item x="165"/>
        <item m="1" x="260"/>
        <item x="169"/>
        <item x="34"/>
        <item x="67"/>
        <item x="105"/>
        <item x="9"/>
        <item x="1"/>
        <item x="119"/>
        <item x="120"/>
        <item x="103"/>
        <item x="133"/>
        <item x="0"/>
        <item x="153"/>
        <item x="93"/>
        <item x="198"/>
        <item x="199"/>
        <item x="73"/>
        <item x="203"/>
        <item x="45"/>
        <item x="201"/>
        <item x="205"/>
        <item x="206"/>
        <item x="210"/>
        <item x="162"/>
        <item x="66"/>
        <item x="62"/>
        <item x="137"/>
        <item x="72"/>
        <item x="194"/>
        <item x="82"/>
        <item x="60"/>
        <item x="83"/>
        <item x="87"/>
        <item x="88"/>
        <item x="146"/>
        <item x="164"/>
        <item x="163"/>
        <item x="19"/>
        <item x="20"/>
        <item x="63"/>
        <item x="136"/>
        <item x="138"/>
        <item x="195"/>
        <item x="29"/>
        <item x="11"/>
        <item x="150"/>
        <item x="151"/>
        <item x="152"/>
        <item x="69"/>
        <item x="16"/>
        <item x="17"/>
        <item x="141"/>
        <item x="204"/>
        <item x="212"/>
        <item x="5"/>
        <item x="4"/>
        <item x="31"/>
        <item x="6"/>
        <item x="7"/>
        <item x="181"/>
        <item x="48"/>
        <item x="49"/>
        <item x="50"/>
        <item x="35"/>
        <item x="37"/>
        <item x="38"/>
        <item x="186"/>
        <item x="149"/>
        <item x="118"/>
        <item x="36"/>
        <item x="44"/>
        <item x="161"/>
        <item x="172"/>
        <item x="173"/>
        <item x="174"/>
        <item x="175"/>
        <item x="117"/>
        <item x="128"/>
        <item x="129"/>
        <item x="122"/>
        <item x="124"/>
        <item x="125"/>
        <item x="132"/>
        <item x="131"/>
        <item x="188"/>
        <item x="77"/>
        <item x="79"/>
        <item x="42"/>
        <item x="96"/>
        <item x="52"/>
        <item x="26"/>
        <item x="171"/>
        <item x="101"/>
        <item x="102"/>
        <item x="167"/>
        <item x="106"/>
        <item x="2"/>
        <item x="104"/>
        <item x="134"/>
        <item x="207"/>
        <item x="202"/>
        <item x="46"/>
        <item x="211"/>
        <item x="65"/>
        <item x="70"/>
        <item x="140"/>
        <item x="142"/>
        <item x="143"/>
        <item x="180"/>
        <item x="182"/>
        <item x="184"/>
        <item x="185"/>
        <item x="208"/>
        <item x="23"/>
        <item x="24"/>
        <item x="22"/>
        <item x="183"/>
        <item x="157"/>
        <item x="156"/>
        <item x="158"/>
        <item x="159"/>
        <item x="113"/>
        <item x="116"/>
        <item x="114"/>
        <item x="115"/>
        <item x="39"/>
        <item x="123"/>
        <item x="190"/>
        <item x="189"/>
        <item x="191"/>
        <item x="78"/>
        <item x="13"/>
        <item x="51"/>
        <item x="53"/>
        <item x="98"/>
        <item x="99"/>
        <item x="109"/>
        <item x="110"/>
        <item x="209"/>
        <item x="107"/>
        <item x="197"/>
        <item x="85"/>
        <item x="196"/>
        <item x="64"/>
        <item x="84"/>
        <item x="86"/>
        <item x="258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135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55"/>
        <item x="56"/>
        <item x="57"/>
        <item x="58"/>
        <item x="59"/>
        <item t="default"/>
      </items>
    </pivotField>
    <pivotField showAll="0"/>
    <pivotField showAll="0"/>
    <pivotField showAll="0"/>
    <pivotField showAll="0"/>
    <pivotField showAll="0"/>
    <pivotField numFmtId="2" showAll="0"/>
    <pivotField numFmtId="2" showAll="0"/>
    <pivotField numFmtId="2" showAll="0"/>
    <pivotField numFmtId="2" showAll="0"/>
    <pivotField showAll="0"/>
    <pivotField numFmtId="2" showAll="0"/>
    <pivotField numFmtId="1" showAll="0"/>
    <pivotField dataField="1" numFmtId="9" showAll="0"/>
    <pivotField showAll="0"/>
    <pivotField showAll="0"/>
  </pivotFields>
  <rowFields count="1">
    <field x="2"/>
  </rowFields>
  <rowItems count="7">
    <i>
      <x v="10"/>
    </i>
    <i>
      <x v="91"/>
    </i>
    <i>
      <x v="92"/>
    </i>
    <i>
      <x v="97"/>
    </i>
    <i>
      <x v="106"/>
    </i>
    <i>
      <x v="170"/>
    </i>
    <i>
      <x v="210"/>
    </i>
  </rowItems>
  <colItems count="1">
    <i/>
  </colItems>
  <pageFields count="1">
    <pageField fld="0" item="23" hier="-1"/>
  </pageFields>
  <dataFields count="1">
    <dataField name=" Oulet Weightage" fld="15" baseField="2" baseItem="57" numFmtId="9"/>
  </dataFields>
  <formats count="17">
    <format dxfId="72">
      <pivotArea outline="0" collapsedLevelsAreSubtotals="1" fieldPosition="0"/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2" type="button" dataOnly="0" labelOnly="1" outline="0" axis="axisRow" fieldPosition="0"/>
    </format>
    <format dxfId="68">
      <pivotArea dataOnly="0" labelOnly="1" grandRow="1" outline="0" fieldPosition="0"/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2" type="button" dataOnly="0" labelOnly="1" outline="0" axis="axisRow" fieldPosition="0"/>
    </format>
    <format dxfId="64">
      <pivotArea dataOnly="0" labelOnly="1" grandRow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2" type="button" dataOnly="0" labelOnly="1" outline="0" axis="axisRow" fieldPosition="0"/>
    </format>
    <format dxfId="60">
      <pivotArea dataOnly="0" labelOnly="1" grandRow="1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2" type="button" dataOnly="0" labelOnly="1" outline="0" axis="axisRow" fieldPosition="0"/>
    </format>
    <format dxfId="5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4F8C7B-8779-4B8E-8AD2-FD04EFB7780C}" name="PivotTable1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multipleFieldFilters="0" chartFormat="39">
  <location ref="I4:O9" firstHeaderRow="0" firstDataRow="1" firstDataCol="1" rowPageCount="1" colPageCount="1"/>
  <pivotFields count="18">
    <pivotField axis="axisPage" showAll="0">
      <items count="94">
        <item x="2"/>
        <item x="3"/>
        <item x="5"/>
        <item x="1"/>
        <item m="1" x="91"/>
        <item x="6"/>
        <item x="8"/>
        <item x="9"/>
        <item x="10"/>
        <item x="11"/>
        <item x="12"/>
        <item x="13"/>
        <item x="14"/>
        <item m="1" x="85"/>
        <item x="15"/>
        <item x="16"/>
        <item x="17"/>
        <item x="18"/>
        <item x="19"/>
        <item x="20"/>
        <item x="21"/>
        <item x="22"/>
        <item m="1" x="82"/>
        <item x="24"/>
        <item x="25"/>
        <item x="26"/>
        <item m="1" x="86"/>
        <item x="27"/>
        <item x="28"/>
        <item x="29"/>
        <item x="30"/>
        <item x="31"/>
        <item x="32"/>
        <item m="1" x="84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9"/>
        <item x="50"/>
        <item x="51"/>
        <item x="52"/>
        <item x="53"/>
        <item x="54"/>
        <item x="4"/>
        <item x="55"/>
        <item x="56"/>
        <item m="1" x="83"/>
        <item x="58"/>
        <item x="59"/>
        <item x="60"/>
        <item x="0"/>
        <item x="61"/>
        <item x="62"/>
        <item x="63"/>
        <item x="64"/>
        <item x="65"/>
        <item m="1" x="88"/>
        <item m="1" x="92"/>
        <item x="48"/>
        <item x="81"/>
        <item x="7"/>
        <item x="79"/>
        <item x="67"/>
        <item x="68"/>
        <item x="69"/>
        <item x="70"/>
        <item m="1" x="90"/>
        <item x="78"/>
        <item x="76"/>
        <item m="1" x="89"/>
        <item x="71"/>
        <item x="72"/>
        <item x="73"/>
        <item x="66"/>
        <item m="1" x="87"/>
        <item x="77"/>
        <item x="74"/>
        <item x="75"/>
        <item x="47"/>
        <item x="57"/>
        <item x="80"/>
        <item x="23"/>
        <item t="default"/>
      </items>
    </pivotField>
    <pivotField showAll="0"/>
    <pivotField axis="axisRow" showAll="0">
      <items count="114">
        <item x="36"/>
        <item x="38"/>
        <item x="37"/>
        <item x="69"/>
        <item x="68"/>
        <item x="32"/>
        <item x="75"/>
        <item x="78"/>
        <item x="30"/>
        <item x="15"/>
        <item x="7"/>
        <item x="11"/>
        <item m="1" x="112"/>
        <item x="4"/>
        <item x="6"/>
        <item x="59"/>
        <item x="73"/>
        <item x="0"/>
        <item x="60"/>
        <item m="1" x="111"/>
        <item x="21"/>
        <item x="10"/>
        <item x="20"/>
        <item x="13"/>
        <item x="50"/>
        <item x="77"/>
        <item x="76"/>
        <item m="1" x="110"/>
        <item x="79"/>
        <item x="57"/>
        <item x="51"/>
        <item x="62"/>
        <item x="71"/>
        <item x="45"/>
        <item x="87"/>
        <item x="35"/>
        <item x="28"/>
        <item x="34"/>
        <item x="42"/>
        <item x="29"/>
        <item x="41"/>
        <item x="1"/>
        <item x="2"/>
        <item x="3"/>
        <item x="5"/>
        <item m="1" x="109"/>
        <item x="8"/>
        <item x="9"/>
        <item x="12"/>
        <item x="14"/>
        <item x="16"/>
        <item x="17"/>
        <item x="18"/>
        <item x="19"/>
        <item x="22"/>
        <item x="23"/>
        <item x="24"/>
        <item x="25"/>
        <item m="1" x="108"/>
        <item x="27"/>
        <item x="31"/>
        <item x="33"/>
        <item x="39"/>
        <item x="40"/>
        <item x="43"/>
        <item x="44"/>
        <item x="46"/>
        <item x="47"/>
        <item x="48"/>
        <item x="49"/>
        <item x="52"/>
        <item x="53"/>
        <item x="54"/>
        <item x="55"/>
        <item x="56"/>
        <item x="58"/>
        <item x="61"/>
        <item x="63"/>
        <item x="64"/>
        <item x="65"/>
        <item x="66"/>
        <item x="67"/>
        <item x="70"/>
        <item x="72"/>
        <item x="74"/>
        <item x="80"/>
        <item x="81"/>
        <item x="82"/>
        <item x="83"/>
        <item x="84"/>
        <item x="85"/>
        <item x="86"/>
        <item x="88"/>
        <item x="89"/>
        <item x="107"/>
        <item x="90"/>
        <item x="91"/>
        <item x="92"/>
        <item x="93"/>
        <item x="94"/>
        <item x="98"/>
        <item x="95"/>
        <item x="103"/>
        <item x="96"/>
        <item x="97"/>
        <item x="99"/>
        <item x="100"/>
        <item x="101"/>
        <item x="102"/>
        <item x="104"/>
        <item x="105"/>
        <item x="106"/>
        <item x="26"/>
        <item t="default"/>
      </items>
    </pivotField>
    <pivotField showAll="0"/>
    <pivotField showAll="0"/>
    <pivotField showAll="0"/>
    <pivotField showAll="0"/>
    <pivotField showAll="0"/>
    <pivotField dataField="1" numFmtId="1" showAll="0"/>
    <pivotField dataField="1" numFmtId="1" showAll="0"/>
    <pivotField dataField="1" numFmtId="1" showAll="0"/>
    <pivotField dataField="1" numFmtId="1" showAll="0"/>
    <pivotField dataField="1" showAll="0"/>
    <pivotField dataField="1" numFmtId="1" showAll="0"/>
    <pivotField numFmtId="1" showAll="0"/>
    <pivotField numFmtId="9" showAll="0"/>
    <pivotField numFmtId="2" showAll="0"/>
    <pivotField showAll="0"/>
  </pivotFields>
  <rowFields count="1">
    <field x="2"/>
  </rowFields>
  <rowItems count="5">
    <i>
      <x v="8"/>
    </i>
    <i>
      <x v="36"/>
    </i>
    <i>
      <x v="39"/>
    </i>
    <i>
      <x v="59"/>
    </i>
    <i>
      <x v="109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0" item="23" hier="-1"/>
  </pageFields>
  <dataFields count="6">
    <dataField name=" Service Certified Manpower (100)" fld="8" baseField="2" baseItem="49" numFmtId="1"/>
    <dataField name=" Repair Quality (50)" fld="9" baseField="2" baseItem="49" numFmtId="1"/>
    <dataField name=" SMP Sales (100)" fld="10" baseField="2" baseItem="49" numFmtId="1"/>
    <dataField name=" Escalation Index (100)" fld="11" baseField="2" baseItem="49" numFmtId="1"/>
    <dataField name=" VOC" fld="12" baseField="2" baseItem="102"/>
    <dataField name=" CX Service (100)" fld="13" baseField="2" baseItem="49" numFmtId="1"/>
  </dataFields>
  <formats count="21">
    <format dxfId="93">
      <pivotArea outline="0" collapsedLevelsAreSubtotals="1" fieldPosition="0"/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field="2" type="button" dataOnly="0" labelOnly="1" outline="0" axis="axisRow" fieldPosition="0"/>
    </format>
    <format dxfId="89">
      <pivotArea dataOnly="0" labelOnly="1" grandRow="1" outline="0" fieldPosition="0"/>
    </format>
    <format dxfId="88">
      <pivotArea dataOnly="0" labelOnly="1" outline="0" fieldPosition="0">
        <references count="1">
          <reference field="4294967294" count="5">
            <x v="0"/>
            <x v="1"/>
            <x v="2"/>
            <x v="3"/>
            <x v="5"/>
          </reference>
        </references>
      </pivotArea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2" type="button" dataOnly="0" labelOnly="1" outline="0" axis="axisRow" fieldPosition="0"/>
    </format>
    <format dxfId="84">
      <pivotArea dataOnly="0" labelOnly="1" grandRow="1" outline="0" fieldPosition="0"/>
    </format>
    <format dxfId="83">
      <pivotArea dataOnly="0" labelOnly="1" outline="0" fieldPosition="0">
        <references count="1">
          <reference field="4294967294" count="5">
            <x v="0"/>
            <x v="1"/>
            <x v="2"/>
            <x v="3"/>
            <x v="5"/>
          </reference>
        </references>
      </pivotArea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2" type="button" dataOnly="0" labelOnly="1" outline="0" axis="axisRow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4294967294" count="5">
            <x v="0"/>
            <x v="1"/>
            <x v="2"/>
            <x v="3"/>
            <x v="5"/>
          </reference>
        </references>
      </pivotArea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2" type="button" dataOnly="0" labelOnly="1" outline="0" axis="axisRow" fieldPosition="0"/>
    </format>
    <format dxfId="74">
      <pivotArea dataOnly="0" labelOnly="1" grandRow="1" outline="0" fieldPosition="0"/>
    </format>
    <format dxfId="73">
      <pivotArea dataOnly="0" labelOnly="1" outline="0" fieldPosition="0">
        <references count="1">
          <reference field="4294967294" count="5">
            <x v="0"/>
            <x v="1"/>
            <x v="2"/>
            <x v="3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9B67B-3D1B-4540-B8EB-576D2F7E4A2B}" name="PivotTable6" cacheId="7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multipleFieldFilters="0" chartFormat="31">
  <location ref="A4:G11" firstHeaderRow="0" firstDataRow="1" firstDataCol="1" rowPageCount="1" colPageCount="1"/>
  <pivotFields count="18">
    <pivotField axis="axisPage" showAll="0">
      <items count="95">
        <item x="0"/>
        <item x="1"/>
        <item x="2"/>
        <item x="3"/>
        <item m="1" x="92"/>
        <item x="4"/>
        <item x="5"/>
        <item x="6"/>
        <item x="7"/>
        <item x="8"/>
        <item x="9"/>
        <item x="10"/>
        <item x="11"/>
        <item m="1" x="86"/>
        <item x="12"/>
        <item x="13"/>
        <item x="14"/>
        <item x="15"/>
        <item x="16"/>
        <item x="17"/>
        <item x="18"/>
        <item x="19"/>
        <item m="1" x="82"/>
        <item x="21"/>
        <item x="22"/>
        <item x="23"/>
        <item m="1" x="87"/>
        <item x="24"/>
        <item x="25"/>
        <item x="26"/>
        <item x="27"/>
        <item x="28"/>
        <item x="29"/>
        <item m="1" x="85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m="1" x="84"/>
        <item x="55"/>
        <item x="56"/>
        <item x="57"/>
        <item x="58"/>
        <item x="59"/>
        <item x="60"/>
        <item x="61"/>
        <item x="62"/>
        <item x="63"/>
        <item m="1" x="90"/>
        <item x="65"/>
        <item m="1" x="93"/>
        <item x="67"/>
        <item x="68"/>
        <item x="81"/>
        <item x="66"/>
        <item x="69"/>
        <item x="70"/>
        <item m="1" x="91"/>
        <item x="71"/>
        <item x="72"/>
        <item x="73"/>
        <item x="74"/>
        <item x="75"/>
        <item x="76"/>
        <item x="64"/>
        <item m="1" x="88"/>
        <item m="1" x="89"/>
        <item x="77"/>
        <item x="78"/>
        <item x="79"/>
        <item x="30"/>
        <item x="54"/>
        <item x="80"/>
        <item m="1" x="83"/>
        <item x="20"/>
        <item t="default"/>
      </items>
    </pivotField>
    <pivotField showAll="0"/>
    <pivotField axis="axisRow" showAll="0">
      <items count="266">
        <item x="90"/>
        <item x="74"/>
        <item x="76"/>
        <item x="75"/>
        <item x="193"/>
        <item x="145"/>
        <item x="144"/>
        <item x="68"/>
        <item x="18"/>
        <item x="168"/>
        <item x="61"/>
        <item x="192"/>
        <item x="28"/>
        <item x="89"/>
        <item x="10"/>
        <item m="1" x="264"/>
        <item x="71"/>
        <item x="15"/>
        <item x="139"/>
        <item m="1" x="262"/>
        <item x="200"/>
        <item m="1" x="259"/>
        <item m="1" x="263"/>
        <item x="3"/>
        <item x="30"/>
        <item x="8"/>
        <item x="177"/>
        <item x="47"/>
        <item x="179"/>
        <item x="33"/>
        <item x="21"/>
        <item x="178"/>
        <item x="147"/>
        <item x="155"/>
        <item x="126"/>
        <item x="111"/>
        <item x="32"/>
        <item x="43"/>
        <item x="148"/>
        <item x="160"/>
        <item x="94"/>
        <item x="176"/>
        <item x="112"/>
        <item x="80"/>
        <item x="127"/>
        <item x="121"/>
        <item x="130"/>
        <item x="154"/>
        <item x="187"/>
        <item x="81"/>
        <item m="1" x="261"/>
        <item x="41"/>
        <item x="95"/>
        <item x="14"/>
        <item x="91"/>
        <item x="40"/>
        <item x="92"/>
        <item x="27"/>
        <item x="12"/>
        <item x="54"/>
        <item x="25"/>
        <item x="97"/>
        <item x="170"/>
        <item x="100"/>
        <item x="108"/>
        <item x="166"/>
        <item x="165"/>
        <item m="1" x="260"/>
        <item x="169"/>
        <item x="34"/>
        <item x="67"/>
        <item x="105"/>
        <item x="9"/>
        <item x="1"/>
        <item x="119"/>
        <item x="120"/>
        <item x="103"/>
        <item x="133"/>
        <item x="0"/>
        <item x="153"/>
        <item x="93"/>
        <item x="198"/>
        <item x="199"/>
        <item x="73"/>
        <item x="203"/>
        <item x="45"/>
        <item x="201"/>
        <item x="205"/>
        <item x="206"/>
        <item x="210"/>
        <item x="162"/>
        <item x="66"/>
        <item x="62"/>
        <item x="137"/>
        <item x="72"/>
        <item x="194"/>
        <item x="82"/>
        <item x="60"/>
        <item x="83"/>
        <item x="87"/>
        <item x="88"/>
        <item x="146"/>
        <item x="164"/>
        <item x="163"/>
        <item x="19"/>
        <item x="20"/>
        <item x="63"/>
        <item x="136"/>
        <item x="138"/>
        <item x="195"/>
        <item x="29"/>
        <item x="11"/>
        <item x="150"/>
        <item x="151"/>
        <item x="152"/>
        <item x="69"/>
        <item x="16"/>
        <item x="17"/>
        <item x="141"/>
        <item x="204"/>
        <item x="212"/>
        <item x="5"/>
        <item x="4"/>
        <item x="31"/>
        <item x="6"/>
        <item x="7"/>
        <item x="181"/>
        <item x="48"/>
        <item x="49"/>
        <item x="50"/>
        <item x="35"/>
        <item x="37"/>
        <item x="38"/>
        <item x="186"/>
        <item x="149"/>
        <item x="118"/>
        <item x="36"/>
        <item x="44"/>
        <item x="161"/>
        <item x="172"/>
        <item x="173"/>
        <item x="174"/>
        <item x="175"/>
        <item x="117"/>
        <item x="128"/>
        <item x="129"/>
        <item x="122"/>
        <item x="124"/>
        <item x="125"/>
        <item x="132"/>
        <item x="131"/>
        <item x="188"/>
        <item x="77"/>
        <item x="79"/>
        <item x="42"/>
        <item x="96"/>
        <item x="52"/>
        <item x="26"/>
        <item x="171"/>
        <item x="101"/>
        <item x="102"/>
        <item x="167"/>
        <item x="106"/>
        <item x="2"/>
        <item x="104"/>
        <item x="134"/>
        <item x="207"/>
        <item x="202"/>
        <item x="46"/>
        <item x="211"/>
        <item x="65"/>
        <item x="70"/>
        <item x="140"/>
        <item x="142"/>
        <item x="143"/>
        <item x="180"/>
        <item x="182"/>
        <item x="184"/>
        <item x="185"/>
        <item x="208"/>
        <item x="23"/>
        <item x="24"/>
        <item x="22"/>
        <item x="183"/>
        <item x="157"/>
        <item x="156"/>
        <item x="158"/>
        <item x="159"/>
        <item x="113"/>
        <item x="116"/>
        <item x="114"/>
        <item x="115"/>
        <item x="39"/>
        <item x="123"/>
        <item x="190"/>
        <item x="189"/>
        <item x="191"/>
        <item x="78"/>
        <item x="13"/>
        <item x="51"/>
        <item x="53"/>
        <item x="98"/>
        <item x="99"/>
        <item x="109"/>
        <item x="110"/>
        <item x="209"/>
        <item x="107"/>
        <item x="197"/>
        <item x="85"/>
        <item x="196"/>
        <item x="64"/>
        <item x="84"/>
        <item x="86"/>
        <item x="258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135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55"/>
        <item x="56"/>
        <item x="57"/>
        <item x="58"/>
        <item x="59"/>
        <item t="default"/>
      </items>
    </pivotField>
    <pivotField showAll="0"/>
    <pivotField showAll="0"/>
    <pivotField showAll="0"/>
    <pivotField showAll="0"/>
    <pivotField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1" showAll="0"/>
    <pivotField dataField="1" numFmtId="2" showAll="0"/>
    <pivotField numFmtId="1" showAll="0"/>
    <pivotField numFmtId="9" showAll="0"/>
    <pivotField numFmtId="2" showAll="0"/>
    <pivotField showAll="0"/>
  </pivotFields>
  <rowFields count="1">
    <field x="2"/>
  </rowFields>
  <rowItems count="7">
    <i>
      <x v="10"/>
    </i>
    <i>
      <x v="91"/>
    </i>
    <i>
      <x v="92"/>
    </i>
    <i>
      <x v="97"/>
    </i>
    <i>
      <x v="106"/>
    </i>
    <i>
      <x v="170"/>
    </i>
    <i>
      <x v="210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0" item="23" hier="-1"/>
  </pageFields>
  <dataFields count="6">
    <dataField name=" Sales Certified Manpower (100)" fld="8" baseField="2" baseItem="57" numFmtId="1"/>
    <dataField name=" Central Web-In Lead to Retail (75)" fld="9" baseField="2" baseItem="57" numFmtId="1"/>
    <dataField name=" Mystery Shopping (75)" fld="10" baseField="2" baseItem="57" numFmtId="1"/>
    <dataField name=" Esclation Index (50)" fld="11" baseField="2" baseItem="57" numFmtId="1"/>
    <dataField name=" PSI Sales (100)" fld="13" baseField="2" baseItem="57" numFmtId="1"/>
    <dataField name=" CX Sales" fld="12" baseField="17" baseItem="259" numFmtId="1"/>
  </dataFields>
  <formats count="24">
    <format dxfId="11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1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14">
      <pivotArea outline="0" collapsedLevelsAreSubtotals="1" fieldPosition="0"/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2" type="button" dataOnly="0" labelOnly="1" outline="0" axis="axisRow" fieldPosition="0"/>
    </format>
    <format dxfId="110">
      <pivotArea dataOnly="0" labelOnly="1" grandRow="1" outline="0" fieldPosition="0"/>
    </format>
    <format dxfId="10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field="2" type="button" dataOnly="0" labelOnly="1" outline="0" axis="axisRow" fieldPosition="0"/>
    </format>
    <format dxfId="105">
      <pivotArea dataOnly="0" labelOnly="1" grandRow="1" outline="0" fieldPosition="0"/>
    </format>
    <format dxfId="10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2" type="button" dataOnly="0" labelOnly="1" outline="0" axis="axisRow" fieldPosition="0"/>
    </format>
    <format dxfId="100">
      <pivotArea dataOnly="0" labelOnly="1" grandRow="1" outline="0" fieldPosition="0"/>
    </format>
    <format dxfId="9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8">
      <pivotArea type="all" dataOnly="0" outline="0" fieldPosition="0"/>
    </format>
    <format dxfId="97">
      <pivotArea outline="0" collapsedLevelsAreSubtotals="1" fieldPosition="0"/>
    </format>
    <format dxfId="96">
      <pivotArea field="2" type="button" dataOnly="0" labelOnly="1" outline="0" axis="axisRow" fieldPosition="0"/>
    </format>
    <format dxfId="95">
      <pivotArea dataOnly="0" labelOnly="1" grandRow="1" outline="0" fieldPosition="0"/>
    </format>
    <format dxfId="9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koda_1">
  <a:themeElements>
    <a:clrScheme name="ŠKODA CI">
      <a:dk1>
        <a:sysClr val="windowText" lastClr="000000"/>
      </a:dk1>
      <a:lt1>
        <a:sysClr val="window" lastClr="FFFFFF"/>
      </a:lt1>
      <a:dk2>
        <a:srgbClr val="F15252"/>
      </a:dk2>
      <a:lt2>
        <a:srgbClr val="FAEB67"/>
      </a:lt2>
      <a:accent1>
        <a:srgbClr val="0E3A2F"/>
      </a:accent1>
      <a:accent2>
        <a:srgbClr val="78FAAE"/>
      </a:accent2>
      <a:accent3>
        <a:srgbClr val="6F797A"/>
      </a:accent3>
      <a:accent4>
        <a:srgbClr val="CACECF"/>
      </a:accent4>
      <a:accent5>
        <a:srgbClr val="1ED4DF"/>
      </a:accent5>
      <a:accent6>
        <a:srgbClr val="F7B046"/>
      </a:accent6>
      <a:hlink>
        <a:srgbClr val="000000"/>
      </a:hlink>
      <a:folHlink>
        <a:srgbClr val="000000"/>
      </a:folHlink>
    </a:clrScheme>
    <a:fontScheme name="SKODA Next">
      <a:majorFont>
        <a:latin typeface="SKODA Next"/>
        <a:ea typeface=""/>
        <a:cs typeface=""/>
      </a:majorFont>
      <a:minorFont>
        <a:latin typeface="SKODA Next"/>
        <a:ea typeface=""/>
        <a:cs typeface="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>
    <a:extraClrScheme>
      <a:clrScheme name="ŠKODA CI">
        <a:dk1>
          <a:sysClr val="windowText" lastClr="000000"/>
        </a:dk1>
        <a:lt1>
          <a:sysClr val="window" lastClr="FFFFFF"/>
        </a:lt1>
        <a:dk2>
          <a:srgbClr val="F15252"/>
        </a:dk2>
        <a:lt2>
          <a:srgbClr val="FAEB67"/>
        </a:lt2>
        <a:accent1>
          <a:srgbClr val="0E3A2F"/>
        </a:accent1>
        <a:accent2>
          <a:srgbClr val="78FAAE"/>
        </a:accent2>
        <a:accent3>
          <a:srgbClr val="6F797A"/>
        </a:accent3>
        <a:accent4>
          <a:srgbClr val="CACECF"/>
        </a:accent4>
        <a:accent5>
          <a:srgbClr val="1ED4DF"/>
        </a:accent5>
        <a:accent6>
          <a:srgbClr val="F7B046"/>
        </a:accent6>
        <a:hlink>
          <a:srgbClr val="000000"/>
        </a:hlink>
        <a:folHlink>
          <a:srgbClr val="000000"/>
        </a:folHlink>
      </a:clrScheme>
    </a:extraClrScheme>
  </a:extraClrSchemeLst>
  <a:custClrLst>
    <a:custClr name="Emerald Green">
      <a:srgbClr val="0E3A2F"/>
    </a:custClr>
    <a:custClr name="Electric Green">
      <a:srgbClr val="78FAAE"/>
    </a:custClr>
    <a:custClr name="Red">
      <a:srgbClr val="F15252"/>
    </a:custClr>
    <a:custClr name="Blue">
      <a:srgbClr val="0961A1"/>
    </a:custClr>
    <a:custClr name="Teal">
      <a:srgbClr val="1ED4DF"/>
    </a:custClr>
    <a:custClr name="Yellow">
      <a:srgbClr val="FAEB67"/>
    </a:custClr>
    <a:custClr name="Orange">
      <a:srgbClr val="F7B046"/>
    </a:custClr>
  </a:custClrLst>
  <a:extLst>
    <a:ext uri="{05A4C25C-085E-4340-85A3-A5531E510DB2}">
      <thm15:themeFamily xmlns:thm15="http://schemas.microsoft.com/office/thememl/2012/main" name="Skoda_1" id="{1A1336A5-D789-4526-B2A7-E7DEC61C6BE9}" vid="{DED1002B-B4C9-4362-A406-F6153031F5BB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38" dT="2025-12-15T05:39:45.93" personId="{84B5AE28-BE65-4840-9990-4819099D4CAC}" id="{EC19B4B4-F991-48EA-BCC0-1126FA889120}">
    <text>KVPS updated as per new dealer panel (Old KVPS 2014102A)</text>
  </threadedComment>
  <threadedComment ref="D243" dT="2025-12-15T05:43:34.56" personId="{84B5AE28-BE65-4840-9990-4819099D4CAC}" id="{A24E571A-8E3F-484A-9B02-62720CF625FB}">
    <text>New KVPS code updated as per new dealer panel (Old KVPS 1041001C)</text>
  </threadedComment>
  <threadedComment ref="D244" dT="2025-12-15T05:41:46.72" personId="{84B5AE28-BE65-4840-9990-4819099D4CAC}" id="{D6395088-A7A7-4F46-8371-47E8F3A044F3}">
    <text xml:space="preserve">KVPS updated as per new dealer panel (Old KVPS 1034302C)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9216C-D72C-4949-84D8-979DBCB86368}">
  <sheetPr codeName="Sheet1">
    <pageSetUpPr fitToPage="1"/>
  </sheetPr>
  <dimension ref="A1:T89"/>
  <sheetViews>
    <sheetView showGridLines="0" tabSelected="1" topLeftCell="A4" zoomScale="80" zoomScaleNormal="80" workbookViewId="0">
      <selection activeCell="I15" sqref="I15"/>
    </sheetView>
  </sheetViews>
  <sheetFormatPr defaultColWidth="0" defaultRowHeight="13.8"/>
  <cols>
    <col min="1" max="1" width="5.09765625" style="2" customWidth="1"/>
    <col min="2" max="7" width="9.19921875" customWidth="1"/>
    <col min="8" max="8" width="10.796875" customWidth="1"/>
    <col min="9" max="20" width="9.19921875" customWidth="1"/>
  </cols>
  <sheetData>
    <row r="1" spans="1:20" ht="14.55" customHeight="1">
      <c r="A1" s="66"/>
      <c r="B1" s="153" t="s">
        <v>843</v>
      </c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67"/>
    </row>
    <row r="2" spans="1:20" ht="26.55" customHeight="1">
      <c r="A2" s="68"/>
      <c r="B2" s="155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69"/>
    </row>
    <row r="3" spans="1:20" s="2" customFormat="1" ht="13.05" customHeight="1" thickBot="1">
      <c r="A3" s="68"/>
      <c r="T3" s="69"/>
    </row>
    <row r="4" spans="1:20" s="2" customFormat="1" ht="16.2" thickBot="1">
      <c r="A4" s="70" t="str">
        <f>_xlfn.CONCAT(D4,J4)</f>
        <v>Gurudev Motors Pvt. Ltd1453</v>
      </c>
      <c r="B4" s="149" t="s">
        <v>0</v>
      </c>
      <c r="C4" s="150"/>
      <c r="D4" s="151" t="s">
        <v>23</v>
      </c>
      <c r="E4" s="151"/>
      <c r="F4" s="151"/>
      <c r="G4" s="151"/>
      <c r="H4" s="152"/>
      <c r="I4" s="65" t="s">
        <v>70</v>
      </c>
      <c r="J4" s="10">
        <v>1453</v>
      </c>
      <c r="T4" s="69"/>
    </row>
    <row r="5" spans="1:20" s="2" customFormat="1">
      <c r="A5" s="68"/>
      <c r="T5" s="69"/>
    </row>
    <row r="6" spans="1:20" s="2" customFormat="1">
      <c r="A6" s="68"/>
      <c r="T6" s="69"/>
    </row>
    <row r="7" spans="1:20" s="2" customFormat="1">
      <c r="A7" s="68"/>
      <c r="T7" s="69"/>
    </row>
    <row r="8" spans="1:20" s="2" customFormat="1">
      <c r="A8" s="68"/>
      <c r="T8" s="69"/>
    </row>
    <row r="9" spans="1:20" s="2" customFormat="1">
      <c r="A9" s="68"/>
      <c r="T9" s="69"/>
    </row>
    <row r="10" spans="1:20" s="2" customFormat="1">
      <c r="A10" s="68"/>
      <c r="T10" s="69"/>
    </row>
    <row r="11" spans="1:20" s="2" customFormat="1">
      <c r="A11" s="68"/>
      <c r="T11" s="69"/>
    </row>
    <row r="12" spans="1:20" s="2" customFormat="1">
      <c r="A12" s="68"/>
      <c r="T12" s="69"/>
    </row>
    <row r="13" spans="1:20" s="2" customFormat="1">
      <c r="A13" s="68"/>
      <c r="T13" s="69"/>
    </row>
    <row r="14" spans="1:20" s="2" customFormat="1">
      <c r="A14" s="68"/>
      <c r="I14" s="134"/>
      <c r="J14" s="133"/>
      <c r="T14" s="69"/>
    </row>
    <row r="15" spans="1:20" s="2" customFormat="1">
      <c r="A15" s="68"/>
      <c r="I15" s="134" t="s">
        <v>1104</v>
      </c>
      <c r="J15" s="133"/>
      <c r="T15" s="69"/>
    </row>
    <row r="16" spans="1:20" s="2" customFormat="1">
      <c r="A16" s="68"/>
      <c r="I16" s="134"/>
      <c r="J16" s="133"/>
      <c r="T16" s="69"/>
    </row>
    <row r="17" spans="1:20" s="2" customFormat="1">
      <c r="A17" s="68"/>
      <c r="T17" s="69"/>
    </row>
    <row r="18" spans="1:20" s="2" customFormat="1">
      <c r="A18" s="68"/>
      <c r="T18" s="69"/>
    </row>
    <row r="19" spans="1:20" s="2" customFormat="1" ht="15" customHeight="1">
      <c r="A19" s="68"/>
      <c r="T19" s="69"/>
    </row>
    <row r="20" spans="1:20" s="2" customFormat="1" ht="15" customHeight="1">
      <c r="A20" s="68"/>
      <c r="T20" s="69"/>
    </row>
    <row r="21" spans="1:20" s="2" customFormat="1" ht="15" customHeight="1">
      <c r="A21" s="68"/>
      <c r="T21" s="69"/>
    </row>
    <row r="22" spans="1:20" s="2" customFormat="1" ht="15" customHeight="1">
      <c r="A22" s="68"/>
      <c r="T22" s="69"/>
    </row>
    <row r="23" spans="1:20" s="2" customFormat="1" ht="15" customHeight="1">
      <c r="A23" s="68"/>
      <c r="T23" s="69"/>
    </row>
    <row r="24" spans="1:20" s="2" customFormat="1" ht="15" customHeight="1">
      <c r="A24" s="68"/>
      <c r="T24" s="69"/>
    </row>
    <row r="25" spans="1:20" s="2" customFormat="1" ht="15" customHeight="1">
      <c r="A25" s="68"/>
      <c r="T25" s="69"/>
    </row>
    <row r="26" spans="1:20" s="2" customFormat="1" ht="15" customHeight="1">
      <c r="A26" s="68"/>
      <c r="T26" s="69"/>
    </row>
    <row r="27" spans="1:20" s="2" customFormat="1" ht="15" customHeight="1">
      <c r="A27" s="68"/>
      <c r="T27" s="69"/>
    </row>
    <row r="28" spans="1:20" s="2" customFormat="1" ht="15" customHeight="1">
      <c r="A28" s="68"/>
      <c r="T28" s="69"/>
    </row>
    <row r="29" spans="1:20" s="2" customFormat="1" ht="15" customHeight="1">
      <c r="A29" s="68"/>
      <c r="T29" s="69"/>
    </row>
    <row r="30" spans="1:20" s="2" customFormat="1" ht="6.75" customHeight="1">
      <c r="A30" s="68"/>
      <c r="T30" s="69"/>
    </row>
    <row r="31" spans="1:20" s="2" customFormat="1">
      <c r="B31" s="141"/>
    </row>
    <row r="32" spans="1:20" s="2" customFormat="1"/>
    <row r="33" spans="16:16" s="2" customFormat="1"/>
    <row r="34" spans="16:16" s="2" customFormat="1"/>
    <row r="35" spans="16:16" s="2" customFormat="1"/>
    <row r="36" spans="16:16" s="2" customFormat="1"/>
    <row r="37" spans="16:16" s="2" customFormat="1"/>
    <row r="38" spans="16:16" s="2" customFormat="1"/>
    <row r="39" spans="16:16" s="2" customFormat="1" ht="15">
      <c r="P39" s="121"/>
    </row>
    <row r="40" spans="16:16" s="2" customFormat="1"/>
    <row r="41" spans="16:16" s="2" customFormat="1"/>
    <row r="42" spans="16:16" s="2" customFormat="1"/>
    <row r="43" spans="16:16" s="2" customFormat="1"/>
    <row r="44" spans="16:16" s="2" customFormat="1"/>
    <row r="45" spans="16:16" s="2" customFormat="1"/>
    <row r="46" spans="16:16" s="2" customFormat="1"/>
    <row r="47" spans="16:16" s="2" customFormat="1"/>
    <row r="48" spans="16:16" s="2" customFormat="1"/>
    <row r="49" s="2" customFormat="1"/>
    <row r="50" s="2" customFormat="1"/>
    <row r="51" s="2" customFormat="1"/>
    <row r="52" s="2" customFormat="1"/>
    <row r="53" s="2" customFormat="1"/>
    <row r="54" s="2" customFormat="1"/>
    <row r="55" s="2" customFormat="1"/>
    <row r="56" s="2" customFormat="1"/>
    <row r="57" s="2" customFormat="1"/>
    <row r="58" s="2" customFormat="1"/>
    <row r="59" s="2" customFormat="1"/>
    <row r="60" s="2" customFormat="1"/>
    <row r="61" s="2" customFormat="1"/>
    <row r="62" s="2" customFormat="1"/>
    <row r="63" s="2" customFormat="1"/>
    <row r="64" s="2" customFormat="1"/>
    <row r="65" s="2" customFormat="1"/>
    <row r="66" s="2" customFormat="1"/>
    <row r="67" s="2" customFormat="1"/>
    <row r="68" s="2" customFormat="1"/>
    <row r="69" s="2" customFormat="1"/>
    <row r="70" s="2" customFormat="1"/>
    <row r="71" s="2" customFormat="1"/>
    <row r="72" s="2" customFormat="1"/>
    <row r="73" s="2" customFormat="1"/>
    <row r="74" s="2" customFormat="1"/>
    <row r="75" s="2" customFormat="1"/>
    <row r="76" s="2" customFormat="1"/>
    <row r="77" s="2" customFormat="1"/>
    <row r="78" s="2" customFormat="1"/>
    <row r="79" s="2" customFormat="1"/>
    <row r="80" s="2" customFormat="1"/>
    <row r="81" s="2" customFormat="1"/>
    <row r="82" s="2" customFormat="1"/>
    <row r="83" s="2" customFormat="1"/>
    <row r="84" s="2" customFormat="1"/>
    <row r="85" s="2" customFormat="1"/>
    <row r="86" s="2" customFormat="1"/>
    <row r="87" s="2" customFormat="1"/>
    <row r="88" s="2" customFormat="1"/>
    <row r="89" s="2" customFormat="1"/>
  </sheetData>
  <mergeCells count="3">
    <mergeCell ref="B4:C4"/>
    <mergeCell ref="D4:H4"/>
    <mergeCell ref="B1:S2"/>
  </mergeCells>
  <printOptions horizontalCentered="1" verticalCentered="1"/>
  <pageMargins left="0.25" right="0.25" top="0.25" bottom="0.25" header="0.3" footer="0.3"/>
  <pageSetup paperSize="9" scale="66" orientation="landscape" r:id="rId1"/>
  <headerFooter>
    <oddHeader xml:space="preserve">&amp;L 
&amp;"-,Bold"&amp;16Date : 17/09/2025&amp;R&amp;G  
</oddHeader>
    <oddFooter xml:space="preserve">&amp;L      &amp;"-,Bold"&amp;14Wishing you the best for the " Best Dealer in Town "  Program !
    For more information on the program please connect with your respective RSM Sales and RSM Service.
&amp;"-,Regular"&amp;11
</oddFooter>
  </headerFooter>
  <drawing r:id="rId2"/>
  <legacyDrawing r:id="rId3"/>
  <legacyDrawingHF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E9411-1FC7-4AAB-96B2-74FD764E6003}">
          <x14:formula1>
            <xm:f>'Investor List'!$B$2:$B$83</xm:f>
          </x14:formula1>
          <xm:sqref>D4:H4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582A9-C0CC-4174-BCA0-8461294FBA2D}">
  <sheetPr codeName="Sheet2"/>
  <dimension ref="B1:D85"/>
  <sheetViews>
    <sheetView showGridLines="0" topLeftCell="A21" zoomScale="140" zoomScaleNormal="120" workbookViewId="0">
      <selection activeCell="C58" sqref="C58"/>
    </sheetView>
  </sheetViews>
  <sheetFormatPr defaultRowHeight="13.8"/>
  <cols>
    <col min="1" max="1" width="9.19921875" customWidth="1"/>
    <col min="2" max="2" width="40.796875" bestFit="1" customWidth="1"/>
    <col min="3" max="3" width="9.19921875" customWidth="1"/>
    <col min="4" max="4" width="17.5" customWidth="1"/>
  </cols>
  <sheetData>
    <row r="1" spans="2:4">
      <c r="B1" s="21" t="s">
        <v>71</v>
      </c>
      <c r="C1" s="22" t="s">
        <v>477</v>
      </c>
      <c r="D1" s="22" t="s">
        <v>506</v>
      </c>
    </row>
    <row r="2" spans="2:4">
      <c r="B2" s="27" t="s">
        <v>586</v>
      </c>
      <c r="C2" s="22"/>
      <c r="D2" s="22"/>
    </row>
    <row r="3" spans="2:4">
      <c r="B3" s="27" t="s">
        <v>1</v>
      </c>
      <c r="C3" s="22">
        <v>1758</v>
      </c>
      <c r="D3" s="23" t="s">
        <v>610</v>
      </c>
    </row>
    <row r="4" spans="2:4">
      <c r="B4" s="27" t="s">
        <v>2</v>
      </c>
      <c r="C4" s="22">
        <v>4496</v>
      </c>
      <c r="D4" s="23" t="s">
        <v>609</v>
      </c>
    </row>
    <row r="5" spans="2:4">
      <c r="B5" s="27" t="s">
        <v>3</v>
      </c>
      <c r="C5" s="22">
        <v>4357</v>
      </c>
      <c r="D5" s="23" t="s">
        <v>610</v>
      </c>
    </row>
    <row r="6" spans="2:4">
      <c r="B6" s="27" t="s">
        <v>4</v>
      </c>
      <c r="C6" s="22">
        <v>2767</v>
      </c>
      <c r="D6" s="23" t="s">
        <v>609</v>
      </c>
    </row>
    <row r="7" spans="2:4">
      <c r="B7" s="27" t="s">
        <v>690</v>
      </c>
      <c r="C7" s="22">
        <v>3783</v>
      </c>
      <c r="D7" s="23" t="s">
        <v>610</v>
      </c>
    </row>
    <row r="8" spans="2:4">
      <c r="B8" s="27" t="s">
        <v>5</v>
      </c>
      <c r="C8" s="22">
        <v>3616</v>
      </c>
      <c r="D8" s="23" t="s">
        <v>608</v>
      </c>
    </row>
    <row r="9" spans="2:4">
      <c r="B9" s="28" t="s">
        <v>66</v>
      </c>
      <c r="C9" s="22">
        <v>3313</v>
      </c>
      <c r="D9" s="23" t="s">
        <v>681</v>
      </c>
    </row>
    <row r="10" spans="2:4">
      <c r="B10" s="27" t="s">
        <v>6</v>
      </c>
      <c r="C10" s="22">
        <v>3530</v>
      </c>
      <c r="D10" s="23" t="s">
        <v>609</v>
      </c>
    </row>
    <row r="11" spans="2:4">
      <c r="B11" s="27" t="s">
        <v>7</v>
      </c>
      <c r="C11" s="22">
        <v>1221</v>
      </c>
      <c r="D11" s="23" t="s">
        <v>608</v>
      </c>
    </row>
    <row r="12" spans="2:4">
      <c r="B12" s="27" t="s">
        <v>8</v>
      </c>
      <c r="C12" s="22">
        <v>1337</v>
      </c>
      <c r="D12" s="23" t="s">
        <v>610</v>
      </c>
    </row>
    <row r="13" spans="2:4">
      <c r="B13" s="27" t="s">
        <v>9</v>
      </c>
      <c r="C13" s="22">
        <v>3001</v>
      </c>
      <c r="D13" s="23" t="s">
        <v>610</v>
      </c>
    </row>
    <row r="14" spans="2:4">
      <c r="B14" s="27" t="s">
        <v>10</v>
      </c>
      <c r="C14" s="22">
        <v>1703</v>
      </c>
      <c r="D14" s="23" t="s">
        <v>608</v>
      </c>
    </row>
    <row r="15" spans="2:4">
      <c r="B15" s="27" t="s">
        <v>11</v>
      </c>
      <c r="C15" s="22">
        <v>3606</v>
      </c>
      <c r="D15" s="23" t="s">
        <v>609</v>
      </c>
    </row>
    <row r="16" spans="2:4">
      <c r="B16" s="27" t="s">
        <v>12</v>
      </c>
      <c r="C16" s="22">
        <v>1161</v>
      </c>
      <c r="D16" s="23" t="s">
        <v>609</v>
      </c>
    </row>
    <row r="17" spans="2:4">
      <c r="B17" s="54" t="s">
        <v>697</v>
      </c>
      <c r="C17" s="53">
        <v>2398</v>
      </c>
      <c r="D17" s="55" t="s">
        <v>608</v>
      </c>
    </row>
    <row r="18" spans="2:4">
      <c r="B18" s="54" t="s">
        <v>884</v>
      </c>
      <c r="C18" s="53">
        <v>2003</v>
      </c>
      <c r="D18" s="55" t="s">
        <v>608</v>
      </c>
    </row>
    <row r="19" spans="2:4">
      <c r="B19" s="27" t="s">
        <v>14</v>
      </c>
      <c r="C19" s="22">
        <v>3955</v>
      </c>
      <c r="D19" s="23" t="s">
        <v>609</v>
      </c>
    </row>
    <row r="20" spans="2:4">
      <c r="B20" s="28" t="s">
        <v>68</v>
      </c>
      <c r="C20" s="22">
        <v>1419</v>
      </c>
      <c r="D20" s="23" t="s">
        <v>608</v>
      </c>
    </row>
    <row r="21" spans="2:4">
      <c r="B21" s="27" t="s">
        <v>15</v>
      </c>
      <c r="C21" s="22">
        <v>3346</v>
      </c>
      <c r="D21" s="23" t="s">
        <v>610</v>
      </c>
    </row>
    <row r="22" spans="2:4">
      <c r="B22" s="27" t="s">
        <v>16</v>
      </c>
      <c r="C22" s="22">
        <v>3343</v>
      </c>
      <c r="D22" s="23" t="s">
        <v>609</v>
      </c>
    </row>
    <row r="23" spans="2:4">
      <c r="B23" s="27" t="s">
        <v>17</v>
      </c>
      <c r="C23" s="22">
        <v>2688</v>
      </c>
      <c r="D23" s="23" t="s">
        <v>608</v>
      </c>
    </row>
    <row r="24" spans="2:4">
      <c r="B24" s="27" t="s">
        <v>18</v>
      </c>
      <c r="C24" s="22">
        <v>3815</v>
      </c>
      <c r="D24" s="23" t="s">
        <v>608</v>
      </c>
    </row>
    <row r="25" spans="2:4">
      <c r="B25" s="27" t="s">
        <v>19</v>
      </c>
      <c r="C25" s="22">
        <v>3766</v>
      </c>
      <c r="D25" s="23" t="s">
        <v>610</v>
      </c>
    </row>
    <row r="26" spans="2:4">
      <c r="B26" s="27" t="s">
        <v>20</v>
      </c>
      <c r="C26" s="22">
        <v>2294</v>
      </c>
      <c r="D26" s="23" t="s">
        <v>610</v>
      </c>
    </row>
    <row r="27" spans="2:4">
      <c r="B27" s="27" t="s">
        <v>21</v>
      </c>
      <c r="C27" s="22">
        <v>2266</v>
      </c>
      <c r="D27" s="23" t="s">
        <v>609</v>
      </c>
    </row>
    <row r="28" spans="2:4">
      <c r="B28" s="27" t="s">
        <v>1098</v>
      </c>
      <c r="C28" s="22">
        <v>3258</v>
      </c>
      <c r="D28" s="23" t="s">
        <v>610</v>
      </c>
    </row>
    <row r="29" spans="2:4">
      <c r="B29" s="54" t="s">
        <v>698</v>
      </c>
      <c r="C29" s="56">
        <v>4121</v>
      </c>
      <c r="D29" s="55" t="s">
        <v>608</v>
      </c>
    </row>
    <row r="30" spans="2:4">
      <c r="B30" s="27" t="s">
        <v>23</v>
      </c>
      <c r="C30" s="22">
        <v>1453</v>
      </c>
      <c r="D30" s="23" t="s">
        <v>610</v>
      </c>
    </row>
    <row r="31" spans="2:4">
      <c r="B31" s="27" t="s">
        <v>24</v>
      </c>
      <c r="C31" s="22">
        <v>3420</v>
      </c>
      <c r="D31" s="23" t="s">
        <v>609</v>
      </c>
    </row>
    <row r="32" spans="2:4">
      <c r="B32" s="27" t="s">
        <v>25</v>
      </c>
      <c r="C32" s="22">
        <v>2466</v>
      </c>
      <c r="D32" s="23" t="s">
        <v>608</v>
      </c>
    </row>
    <row r="33" spans="2:4">
      <c r="B33" s="27" t="s">
        <v>27</v>
      </c>
      <c r="C33" s="22">
        <v>2452</v>
      </c>
      <c r="D33" s="23" t="s">
        <v>610</v>
      </c>
    </row>
    <row r="34" spans="2:4">
      <c r="B34" s="27" t="s">
        <v>28</v>
      </c>
      <c r="C34" s="22">
        <v>1757</v>
      </c>
      <c r="D34" s="23" t="s">
        <v>608</v>
      </c>
    </row>
    <row r="35" spans="2:4">
      <c r="B35" s="57" t="s">
        <v>69</v>
      </c>
      <c r="C35" s="56">
        <v>1672</v>
      </c>
      <c r="D35" s="55" t="s">
        <v>608</v>
      </c>
    </row>
    <row r="36" spans="2:4">
      <c r="B36" s="57" t="s">
        <v>699</v>
      </c>
      <c r="C36" s="56">
        <v>1998</v>
      </c>
      <c r="D36" s="55" t="s">
        <v>608</v>
      </c>
    </row>
    <row r="37" spans="2:4">
      <c r="B37" s="106" t="s">
        <v>829</v>
      </c>
      <c r="C37" s="107">
        <v>5957</v>
      </c>
      <c r="D37" s="108" t="s">
        <v>608</v>
      </c>
    </row>
    <row r="38" spans="2:4">
      <c r="B38" s="27" t="s">
        <v>29</v>
      </c>
      <c r="C38" s="22">
        <v>1094</v>
      </c>
      <c r="D38" s="23" t="s">
        <v>610</v>
      </c>
    </row>
    <row r="39" spans="2:4">
      <c r="B39" s="106" t="s">
        <v>1069</v>
      </c>
      <c r="C39" s="107">
        <v>1102</v>
      </c>
      <c r="D39" s="108" t="s">
        <v>608</v>
      </c>
    </row>
    <row r="40" spans="2:4">
      <c r="B40" s="27" t="s">
        <v>30</v>
      </c>
      <c r="C40" s="22">
        <v>1515</v>
      </c>
      <c r="D40" s="23" t="s">
        <v>610</v>
      </c>
    </row>
    <row r="41" spans="2:4">
      <c r="B41" s="27" t="s">
        <v>58</v>
      </c>
      <c r="C41" s="22">
        <v>2144</v>
      </c>
      <c r="D41" s="23" t="s">
        <v>610</v>
      </c>
    </row>
    <row r="42" spans="2:4">
      <c r="B42" s="27" t="s">
        <v>59</v>
      </c>
      <c r="C42" s="22">
        <v>3338</v>
      </c>
      <c r="D42" s="23" t="s">
        <v>610</v>
      </c>
    </row>
    <row r="43" spans="2:4">
      <c r="B43" s="54" t="s">
        <v>700</v>
      </c>
      <c r="C43" s="56">
        <v>1879</v>
      </c>
      <c r="D43" s="55" t="s">
        <v>608</v>
      </c>
    </row>
    <row r="44" spans="2:4">
      <c r="B44" s="29" t="s">
        <v>1050</v>
      </c>
      <c r="C44" s="22">
        <v>2496</v>
      </c>
      <c r="D44" s="23" t="s">
        <v>610</v>
      </c>
    </row>
    <row r="45" spans="2:4">
      <c r="B45" s="29" t="s">
        <v>31</v>
      </c>
      <c r="C45" s="22">
        <v>2958</v>
      </c>
      <c r="D45" s="23" t="s">
        <v>608</v>
      </c>
    </row>
    <row r="46" spans="2:4">
      <c r="B46" s="27" t="s">
        <v>60</v>
      </c>
      <c r="C46" s="22">
        <v>2515</v>
      </c>
      <c r="D46" s="23" t="s">
        <v>610</v>
      </c>
    </row>
    <row r="47" spans="2:4">
      <c r="B47" s="27" t="s">
        <v>61</v>
      </c>
      <c r="C47" s="22">
        <v>3117</v>
      </c>
      <c r="D47" s="23" t="s">
        <v>610</v>
      </c>
    </row>
    <row r="48" spans="2:4">
      <c r="B48" s="27" t="s">
        <v>32</v>
      </c>
      <c r="C48" s="22">
        <v>1367</v>
      </c>
      <c r="D48" s="23" t="s">
        <v>609</v>
      </c>
    </row>
    <row r="49" spans="2:4">
      <c r="B49" s="54" t="s">
        <v>877</v>
      </c>
      <c r="C49" s="56">
        <v>2706</v>
      </c>
      <c r="D49" s="55" t="s">
        <v>608</v>
      </c>
    </row>
    <row r="50" spans="2:4">
      <c r="B50" s="27" t="s">
        <v>33</v>
      </c>
      <c r="C50" s="22">
        <v>1595</v>
      </c>
      <c r="D50" s="23" t="s">
        <v>608</v>
      </c>
    </row>
    <row r="51" spans="2:4">
      <c r="B51" s="29" t="s">
        <v>34</v>
      </c>
      <c r="C51" s="22">
        <v>2100</v>
      </c>
      <c r="D51" s="23" t="s">
        <v>609</v>
      </c>
    </row>
    <row r="52" spans="2:4">
      <c r="B52" s="27" t="s">
        <v>62</v>
      </c>
      <c r="C52" s="22">
        <v>1582</v>
      </c>
      <c r="D52" s="23" t="s">
        <v>610</v>
      </c>
    </row>
    <row r="53" spans="2:4">
      <c r="B53" s="27" t="s">
        <v>63</v>
      </c>
      <c r="C53" s="22">
        <v>1690</v>
      </c>
      <c r="D53" s="23" t="s">
        <v>610</v>
      </c>
    </row>
    <row r="54" spans="2:4">
      <c r="B54" s="27" t="s">
        <v>64</v>
      </c>
      <c r="C54" s="22">
        <v>3027</v>
      </c>
      <c r="D54" s="23" t="s">
        <v>610</v>
      </c>
    </row>
    <row r="55" spans="2:4">
      <c r="B55" s="27" t="s">
        <v>65</v>
      </c>
      <c r="C55" s="22">
        <v>3654</v>
      </c>
      <c r="D55" s="23" t="s">
        <v>610</v>
      </c>
    </row>
    <row r="56" spans="2:4">
      <c r="B56" s="29" t="s">
        <v>35</v>
      </c>
      <c r="C56" s="22">
        <v>2861</v>
      </c>
      <c r="D56" s="23" t="s">
        <v>609</v>
      </c>
    </row>
    <row r="57" spans="2:4">
      <c r="B57" s="27" t="s">
        <v>36</v>
      </c>
      <c r="C57" s="22">
        <v>2105</v>
      </c>
      <c r="D57" s="23" t="s">
        <v>609</v>
      </c>
    </row>
    <row r="58" spans="2:4">
      <c r="B58" s="27" t="s">
        <v>37</v>
      </c>
      <c r="C58" s="22">
        <v>2044</v>
      </c>
      <c r="D58" s="23" t="s">
        <v>610</v>
      </c>
    </row>
    <row r="59" spans="2:4">
      <c r="B59" s="27" t="s">
        <v>38</v>
      </c>
      <c r="C59" s="22">
        <v>4183</v>
      </c>
      <c r="D59" s="23" t="s">
        <v>608</v>
      </c>
    </row>
    <row r="60" spans="2:4">
      <c r="B60" s="54" t="s">
        <v>742</v>
      </c>
      <c r="C60" s="56">
        <v>1938</v>
      </c>
      <c r="D60" s="55" t="s">
        <v>608</v>
      </c>
    </row>
    <row r="61" spans="2:4">
      <c r="B61" s="28" t="s">
        <v>67</v>
      </c>
      <c r="C61" s="22">
        <v>1862</v>
      </c>
      <c r="D61" s="23" t="s">
        <v>608</v>
      </c>
    </row>
    <row r="62" spans="2:4">
      <c r="B62" s="29" t="s">
        <v>39</v>
      </c>
      <c r="C62" s="22">
        <v>1204</v>
      </c>
      <c r="D62" s="23" t="s">
        <v>609</v>
      </c>
    </row>
    <row r="63" spans="2:4">
      <c r="B63" s="29" t="s">
        <v>40</v>
      </c>
      <c r="C63" s="22">
        <v>1987</v>
      </c>
      <c r="D63" s="23" t="s">
        <v>610</v>
      </c>
    </row>
    <row r="64" spans="2:4">
      <c r="B64" s="57" t="s">
        <v>741</v>
      </c>
      <c r="C64" s="56">
        <v>1468</v>
      </c>
      <c r="D64" s="55" t="s">
        <v>608</v>
      </c>
    </row>
    <row r="65" spans="2:4">
      <c r="B65" s="29" t="s">
        <v>41</v>
      </c>
      <c r="C65" s="22">
        <v>1958</v>
      </c>
      <c r="D65" s="23" t="s">
        <v>608</v>
      </c>
    </row>
    <row r="66" spans="2:4">
      <c r="B66" s="29" t="s">
        <v>42</v>
      </c>
      <c r="C66" s="22">
        <v>1489</v>
      </c>
      <c r="D66" s="23" t="s">
        <v>610</v>
      </c>
    </row>
    <row r="67" spans="2:4">
      <c r="B67" s="27" t="s">
        <v>43</v>
      </c>
      <c r="C67" s="22">
        <v>2154</v>
      </c>
      <c r="D67" s="23" t="s">
        <v>609</v>
      </c>
    </row>
    <row r="68" spans="2:4">
      <c r="B68" s="27" t="s">
        <v>44</v>
      </c>
      <c r="C68" s="22">
        <v>2185</v>
      </c>
      <c r="D68" s="23" t="s">
        <v>608</v>
      </c>
    </row>
    <row r="69" spans="2:4">
      <c r="B69" s="54" t="s">
        <v>743</v>
      </c>
      <c r="C69" s="56">
        <v>2021</v>
      </c>
      <c r="D69" s="55" t="s">
        <v>608</v>
      </c>
    </row>
    <row r="70" spans="2:4">
      <c r="B70" s="27" t="s">
        <v>45</v>
      </c>
      <c r="C70" s="22">
        <v>2768</v>
      </c>
      <c r="D70" s="23" t="s">
        <v>609</v>
      </c>
    </row>
    <row r="71" spans="2:4">
      <c r="B71" s="27" t="s">
        <v>46</v>
      </c>
      <c r="C71" s="22">
        <v>2774</v>
      </c>
      <c r="D71" s="23" t="s">
        <v>609</v>
      </c>
    </row>
    <row r="72" spans="2:4">
      <c r="B72" s="27" t="s">
        <v>47</v>
      </c>
      <c r="C72" s="22">
        <v>2168</v>
      </c>
      <c r="D72" s="23" t="s">
        <v>609</v>
      </c>
    </row>
    <row r="73" spans="2:4">
      <c r="B73" s="29" t="s">
        <v>1052</v>
      </c>
      <c r="C73" s="22">
        <v>2855</v>
      </c>
      <c r="D73" s="23" t="s">
        <v>609</v>
      </c>
    </row>
    <row r="74" spans="2:4">
      <c r="B74" s="27" t="s">
        <v>49</v>
      </c>
      <c r="C74" s="22">
        <v>4077</v>
      </c>
      <c r="D74" s="23" t="s">
        <v>609</v>
      </c>
    </row>
    <row r="75" spans="2:4">
      <c r="B75" s="27" t="s">
        <v>50</v>
      </c>
      <c r="C75" s="22">
        <v>2427</v>
      </c>
      <c r="D75" s="23" t="s">
        <v>609</v>
      </c>
    </row>
    <row r="76" spans="2:4">
      <c r="B76" s="27" t="s">
        <v>51</v>
      </c>
      <c r="C76" s="22">
        <v>3225</v>
      </c>
      <c r="D76" s="23" t="s">
        <v>610</v>
      </c>
    </row>
    <row r="77" spans="2:4">
      <c r="B77" s="27" t="s">
        <v>52</v>
      </c>
      <c r="C77" s="22">
        <v>2343</v>
      </c>
      <c r="D77" s="23" t="s">
        <v>610</v>
      </c>
    </row>
    <row r="78" spans="2:4">
      <c r="B78" s="27" t="s">
        <v>53</v>
      </c>
      <c r="C78" s="22">
        <v>2358</v>
      </c>
      <c r="D78" s="23" t="s">
        <v>610</v>
      </c>
    </row>
    <row r="79" spans="2:4">
      <c r="B79" s="27" t="s">
        <v>54</v>
      </c>
      <c r="C79" s="22">
        <v>2785</v>
      </c>
      <c r="D79" s="23" t="s">
        <v>610</v>
      </c>
    </row>
    <row r="80" spans="2:4">
      <c r="B80" s="27" t="s">
        <v>55</v>
      </c>
      <c r="C80" s="22">
        <v>2347</v>
      </c>
      <c r="D80" s="23" t="s">
        <v>610</v>
      </c>
    </row>
    <row r="81" spans="2:4">
      <c r="B81" s="27" t="s">
        <v>56</v>
      </c>
      <c r="C81" s="22">
        <v>1996</v>
      </c>
      <c r="D81" s="23" t="s">
        <v>608</v>
      </c>
    </row>
    <row r="82" spans="2:4">
      <c r="B82" s="27" t="s">
        <v>57</v>
      </c>
      <c r="C82" s="22">
        <v>3902</v>
      </c>
      <c r="D82" s="23" t="s">
        <v>608</v>
      </c>
    </row>
    <row r="83" spans="2:4">
      <c r="B83" s="27" t="s">
        <v>758</v>
      </c>
      <c r="C83" s="22">
        <v>3850</v>
      </c>
      <c r="D83" s="23" t="s">
        <v>608</v>
      </c>
    </row>
    <row r="84" spans="2:4">
      <c r="B84" s="27" t="s">
        <v>13</v>
      </c>
      <c r="C84" s="22">
        <v>4217</v>
      </c>
      <c r="D84" s="23" t="s">
        <v>610</v>
      </c>
    </row>
    <row r="85" spans="2:4">
      <c r="B85" s="27" t="s">
        <v>26</v>
      </c>
      <c r="C85" s="22">
        <v>2494</v>
      </c>
      <c r="D85" s="23" t="s">
        <v>609</v>
      </c>
    </row>
  </sheetData>
  <autoFilter ref="B1:D77" xr:uid="{3FE582A9-C0CC-4174-BCA0-8461294FBA2D}">
    <sortState xmlns:xlrd2="http://schemas.microsoft.com/office/spreadsheetml/2017/richdata2" ref="B2:D77">
      <sortCondition ref="B2:B77"/>
    </sortState>
  </autoFilter>
  <conditionalFormatting sqref="B13">
    <cfRule type="duplicateValues" dxfId="185" priority="5"/>
  </conditionalFormatting>
  <conditionalFormatting sqref="C1:C38 C40:C1048576">
    <cfRule type="duplicateValues" dxfId="184" priority="170"/>
  </conditionalFormatting>
  <conditionalFormatting sqref="B74:B85 B3:B12 B14:B38 B40:B72">
    <cfRule type="duplicateValues" dxfId="183" priority="171"/>
  </conditionalFormatting>
  <conditionalFormatting sqref="B73">
    <cfRule type="duplicateValues" dxfId="182" priority="3"/>
  </conditionalFormatting>
  <conditionalFormatting sqref="B73">
    <cfRule type="duplicateValues" dxfId="181" priority="4"/>
  </conditionalFormatting>
  <conditionalFormatting sqref="C39">
    <cfRule type="duplicateValues" dxfId="180" priority="1"/>
  </conditionalFormatting>
  <conditionalFormatting sqref="B39">
    <cfRule type="duplicateValues" dxfId="179" priority="2"/>
  </conditionalFormatting>
  <pageMargins left="0.7" right="0.7" top="0.75" bottom="0.75" header="0.3" footer="0.3"/>
  <headerFooter>
    <oddHeader>&amp;L&amp;"Arial"&amp;8&amp;K000000 INTERNAL&amp;1#_x000D_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D5022-B989-401C-9819-C3159ADC9AF5}">
  <sheetPr codeName="Sheet5"/>
  <dimension ref="A2:W84"/>
  <sheetViews>
    <sheetView showGridLines="0" topLeftCell="D3" zoomScale="113" zoomScaleNormal="90" workbookViewId="0">
      <selection activeCell="H4" sqref="H4"/>
    </sheetView>
  </sheetViews>
  <sheetFormatPr defaultRowHeight="13.8"/>
  <cols>
    <col min="1" max="1" width="29.5" bestFit="1" customWidth="1"/>
    <col min="2" max="3" width="38.69921875" customWidth="1"/>
    <col min="4" max="6" width="14.19921875" customWidth="1"/>
    <col min="7" max="7" width="16.5" bestFit="1" customWidth="1"/>
    <col min="8" max="8" width="18.09765625" bestFit="1" customWidth="1"/>
    <col min="9" max="13" width="14.19921875" bestFit="1" customWidth="1"/>
    <col min="14" max="14" width="17.796875" customWidth="1"/>
    <col min="15" max="15" width="19.69921875" bestFit="1" customWidth="1"/>
    <col min="16" max="17" width="17.796875" customWidth="1"/>
    <col min="18" max="18" width="25.69921875" bestFit="1" customWidth="1"/>
    <col min="19" max="19" width="17.796875" customWidth="1"/>
    <col min="20" max="20" width="10.09765625" bestFit="1" customWidth="1"/>
    <col min="21" max="21" width="9.296875" bestFit="1" customWidth="1"/>
    <col min="22" max="22" width="5.5" bestFit="1" customWidth="1"/>
  </cols>
  <sheetData>
    <row r="2" spans="1:23">
      <c r="I2" s="145">
        <f>SUM(I4:I84)</f>
        <v>11850000</v>
      </c>
      <c r="J2" s="145">
        <f>SUM(J4:J84)</f>
        <v>10649343</v>
      </c>
      <c r="K2" s="145">
        <f>SUM(K4:K84)</f>
        <v>811000</v>
      </c>
      <c r="L2" s="87">
        <f>SUM(L4:L84)</f>
        <v>23310343</v>
      </c>
      <c r="M2" s="124">
        <f>SUM(I2/3,J2,K2)/O2</f>
        <v>2242.1567001309472</v>
      </c>
      <c r="O2" s="123">
        <f>SUM(O4:O84)</f>
        <v>6873</v>
      </c>
      <c r="R2" t="s">
        <v>1064</v>
      </c>
      <c r="T2" s="157"/>
      <c r="U2" s="157"/>
      <c r="V2" s="157"/>
    </row>
    <row r="3" spans="1:23">
      <c r="A3" s="11" t="s">
        <v>611</v>
      </c>
      <c r="B3" s="11" t="s">
        <v>71</v>
      </c>
      <c r="C3" s="11" t="s">
        <v>194</v>
      </c>
      <c r="D3" s="11" t="s">
        <v>504</v>
      </c>
      <c r="E3" s="11" t="s">
        <v>505</v>
      </c>
      <c r="F3" s="11" t="s">
        <v>489</v>
      </c>
      <c r="G3" s="11" t="s">
        <v>580</v>
      </c>
      <c r="H3" s="11" t="s">
        <v>581</v>
      </c>
      <c r="I3" s="11" t="s">
        <v>604</v>
      </c>
      <c r="J3" s="11" t="s">
        <v>605</v>
      </c>
      <c r="K3" s="11" t="s">
        <v>593</v>
      </c>
      <c r="L3" s="11" t="s">
        <v>594</v>
      </c>
      <c r="M3" s="11" t="s">
        <v>606</v>
      </c>
      <c r="N3" s="11" t="s">
        <v>679</v>
      </c>
      <c r="O3" s="11" t="s">
        <v>682</v>
      </c>
      <c r="P3" s="11" t="s">
        <v>680</v>
      </c>
      <c r="Q3" s="11" t="s">
        <v>506</v>
      </c>
      <c r="R3" s="11" t="s">
        <v>886</v>
      </c>
      <c r="S3" s="11" t="s">
        <v>1065</v>
      </c>
      <c r="T3" s="11" t="s">
        <v>771</v>
      </c>
      <c r="U3" s="11" t="s">
        <v>842</v>
      </c>
      <c r="V3" s="11" t="s">
        <v>772</v>
      </c>
    </row>
    <row r="4" spans="1:23">
      <c r="A4" s="122" t="s">
        <v>660</v>
      </c>
      <c r="B4" s="29" t="s">
        <v>1</v>
      </c>
      <c r="C4" s="61" t="s">
        <v>510</v>
      </c>
      <c r="D4" s="9">
        <f>SUMIF(Main_Data_Sales!$B$2:$B$261,'Investor Master Data'!$C4,Main_Data_Sales!$T$2:$T$261)</f>
        <v>414</v>
      </c>
      <c r="E4" s="9">
        <f>SUMIF(Main_Data_Service!$B$2:$B$111,'Investor Master Data'!$C4,Main_Data_Service!$T$2:$T$111)</f>
        <v>403</v>
      </c>
      <c r="F4" s="64">
        <f>ROUND(SUM(D4:E4),0)</f>
        <v>817</v>
      </c>
      <c r="G4" s="52">
        <v>1.3488372093023255</v>
      </c>
      <c r="H4" s="52">
        <v>1.0905091707940178</v>
      </c>
      <c r="I4" s="24">
        <f>IF(AND(N4="CAT 1",F4&gt;600),450000,IF(AND(N4="CAT 2",F4&gt;600),600000,IF(AND(N4="CAT 3",F4&gt;600),900000,0)))</f>
        <v>600000</v>
      </c>
      <c r="J4" s="24">
        <f>(IF(AND(F4&gt;600,N4="CAT 1"),7000,IF(AND(F4&gt;600,N4="CAT 2"),7000,IF(AND(F4&gt;600,N4="CAT 3"),6000,0))))*O4*(F4/1000)</f>
        <v>995105.99999999988</v>
      </c>
      <c r="K4" s="24">
        <f>IF(AND(F4&gt;900,S4&gt;=100%),R4*0.1,IF(AND(F4&gt;750,F4&lt;901,S4&gt;=100%),R4*0.05,0))</f>
        <v>106000</v>
      </c>
      <c r="L4" s="24">
        <f>SUM(I4:K4)</f>
        <v>1701106</v>
      </c>
      <c r="M4" s="24">
        <f>IFERROR(SUM(I4/3,J4,K4)/O4,0)</f>
        <v>7477.6206896551721</v>
      </c>
      <c r="N4" s="3" t="s">
        <v>609</v>
      </c>
      <c r="O4" s="117">
        <v>174</v>
      </c>
      <c r="P4" s="117">
        <v>362</v>
      </c>
      <c r="Q4" s="117" t="s">
        <v>1043</v>
      </c>
      <c r="R4" s="142">
        <v>2120000</v>
      </c>
      <c r="S4" s="127">
        <v>1.2196969696969697</v>
      </c>
      <c r="T4" s="9">
        <f>L4</f>
        <v>1701106</v>
      </c>
      <c r="U4" s="9">
        <f>VLOOKUP(A4,[1]!Table1[[Investor]:[Total Amount]],20,FALSE)</f>
        <v>1701106</v>
      </c>
      <c r="V4" s="9" t="b">
        <f>T4=U4</f>
        <v>1</v>
      </c>
      <c r="W4" s="143"/>
    </row>
    <row r="5" spans="1:23">
      <c r="A5" s="122" t="s">
        <v>622</v>
      </c>
      <c r="B5" s="29" t="s">
        <v>2</v>
      </c>
      <c r="C5" s="29" t="s">
        <v>511</v>
      </c>
      <c r="D5" s="9">
        <f>SUMIF(Main_Data_Sales!$B$2:$B$261,'Investor Master Data'!$C5,Main_Data_Sales!$T$2:$T$261)</f>
        <v>353</v>
      </c>
      <c r="E5" s="9">
        <f>SUMIF(Main_Data_Service!$B$2:$B$111,'Investor Master Data'!$C5,Main_Data_Service!$T$2:$T$111)</f>
        <v>365</v>
      </c>
      <c r="F5" s="64">
        <f t="shared" ref="F5:F68" si="0">ROUND(SUM(D5:E5),0)</f>
        <v>718</v>
      </c>
      <c r="G5" s="52">
        <v>0.92380952380952386</v>
      </c>
      <c r="H5" s="52">
        <v>1.0563621916932906</v>
      </c>
      <c r="I5" s="24">
        <f t="shared" ref="I5:I66" si="1">IF(AND(N5="CAT 1",F5&gt;600),450000,IF(AND(N5="CAT 2",F5&gt;600),600000,IF(AND(N5="CAT 3",F5&gt;600),900000,0)))</f>
        <v>450000</v>
      </c>
      <c r="J5" s="24">
        <f t="shared" ref="J5:J66" si="2">(IF(AND(F5&gt;600,N5="CAT 1"),7000,IF(AND(F5&gt;600,N5="CAT 2"),7000,IF(AND(F5&gt;600,N5="CAT 3"),6000,0))))*O5*(F5/1000)</f>
        <v>487522</v>
      </c>
      <c r="K5" s="24">
        <f t="shared" ref="K5:K68" si="3">IF(AND(F5&gt;900,S5&gt;=100%),R5*0.1,IF(AND(F5&gt;750,F5&lt;901,S5&gt;=100%),R5*0.05,0))</f>
        <v>0</v>
      </c>
      <c r="L5" s="24">
        <f t="shared" ref="L5:L69" si="4">SUM(I5:K5)</f>
        <v>937522</v>
      </c>
      <c r="M5" s="24">
        <f t="shared" ref="M5:M68" si="5">IFERROR(SUM(I5/3,J5,K5)/O5,0)</f>
        <v>6572.3917525773195</v>
      </c>
      <c r="N5" s="3" t="s">
        <v>608</v>
      </c>
      <c r="O5" s="117">
        <v>97</v>
      </c>
      <c r="P5" s="117">
        <v>190</v>
      </c>
      <c r="Q5" s="117" t="s">
        <v>1043</v>
      </c>
      <c r="R5" s="142">
        <v>400000</v>
      </c>
      <c r="S5" s="127">
        <v>1.0273972602739727</v>
      </c>
      <c r="T5" s="9">
        <f t="shared" ref="T5:T68" si="6">L5</f>
        <v>937522</v>
      </c>
      <c r="U5" s="9">
        <f>VLOOKUP(A5,[1]!Table1[[Investor]:[Total Amount]],20,FALSE)</f>
        <v>937522</v>
      </c>
      <c r="V5" s="9" t="b">
        <f t="shared" ref="V5:V66" si="7">T5=U5</f>
        <v>1</v>
      </c>
      <c r="W5" s="143"/>
    </row>
    <row r="6" spans="1:23">
      <c r="A6" s="122" t="s">
        <v>612</v>
      </c>
      <c r="B6" s="29" t="s">
        <v>3</v>
      </c>
      <c r="C6" s="29" t="s">
        <v>486</v>
      </c>
      <c r="D6" s="9">
        <f>SUMIF(Main_Data_Sales!$B$2:$B$261,'Investor Master Data'!$C6,Main_Data_Sales!$T$2:$T$261)</f>
        <v>148</v>
      </c>
      <c r="E6" s="9">
        <f>SUMIF(Main_Data_Service!$B$2:$B$111,'Investor Master Data'!$C6,Main_Data_Service!$T$2:$T$111)</f>
        <v>0</v>
      </c>
      <c r="F6" s="64">
        <f t="shared" si="0"/>
        <v>148</v>
      </c>
      <c r="G6" s="52">
        <v>1.1269035532994924</v>
      </c>
      <c r="H6" s="52">
        <v>1.2942937522123859</v>
      </c>
      <c r="I6" s="24">
        <f t="shared" si="1"/>
        <v>0</v>
      </c>
      <c r="J6" s="24">
        <f t="shared" si="2"/>
        <v>0</v>
      </c>
      <c r="K6" s="24">
        <f t="shared" si="3"/>
        <v>0</v>
      </c>
      <c r="L6" s="24">
        <f t="shared" si="4"/>
        <v>0</v>
      </c>
      <c r="M6" s="24">
        <f t="shared" si="5"/>
        <v>0</v>
      </c>
      <c r="N6" s="3" t="s">
        <v>610</v>
      </c>
      <c r="O6" s="117">
        <v>222</v>
      </c>
      <c r="P6" s="117">
        <v>491</v>
      </c>
      <c r="Q6" s="117" t="s">
        <v>1043</v>
      </c>
      <c r="R6" s="142">
        <v>3060000</v>
      </c>
      <c r="S6" s="127">
        <v>1.2138728323699421</v>
      </c>
      <c r="T6" s="9">
        <f t="shared" si="6"/>
        <v>0</v>
      </c>
      <c r="U6" s="9">
        <f>VLOOKUP(A6,[1]!Table1[[Investor]:[Total Amount]],20,FALSE)</f>
        <v>0</v>
      </c>
      <c r="V6" s="9" t="b">
        <f t="shared" si="7"/>
        <v>1</v>
      </c>
      <c r="W6" s="143"/>
    </row>
    <row r="7" spans="1:23">
      <c r="A7" s="122" t="s">
        <v>613</v>
      </c>
      <c r="B7" s="29" t="s">
        <v>4</v>
      </c>
      <c r="C7" s="29" t="s">
        <v>512</v>
      </c>
      <c r="D7" s="9">
        <f>SUMIF(Main_Data_Sales!$B$2:$B$261,'Investor Master Data'!$C7,Main_Data_Sales!$T$2:$T$261)</f>
        <v>0</v>
      </c>
      <c r="E7" s="9">
        <f>SUMIF(Main_Data_Service!$B$2:$B$111,'Investor Master Data'!$C7,Main_Data_Service!$T$2:$T$111)</f>
        <v>0</v>
      </c>
      <c r="F7" s="64">
        <f t="shared" si="0"/>
        <v>0</v>
      </c>
      <c r="G7" s="52">
        <v>0.88888888888888884</v>
      </c>
      <c r="H7" s="52">
        <v>0.5600891134020618</v>
      </c>
      <c r="I7" s="24">
        <f t="shared" si="1"/>
        <v>0</v>
      </c>
      <c r="J7" s="24">
        <f t="shared" si="2"/>
        <v>0</v>
      </c>
      <c r="K7" s="24">
        <f t="shared" si="3"/>
        <v>0</v>
      </c>
      <c r="L7" s="24">
        <f t="shared" si="4"/>
        <v>0</v>
      </c>
      <c r="M7" s="24">
        <f t="shared" si="5"/>
        <v>0</v>
      </c>
      <c r="N7" s="3" t="s">
        <v>608</v>
      </c>
      <c r="O7" s="117">
        <v>8</v>
      </c>
      <c r="P7" s="117">
        <v>185</v>
      </c>
      <c r="Q7" s="117" t="s">
        <v>1043</v>
      </c>
      <c r="R7" s="142">
        <v>0</v>
      </c>
      <c r="S7" s="127">
        <v>0.26315789473684209</v>
      </c>
      <c r="T7" s="9">
        <f t="shared" si="6"/>
        <v>0</v>
      </c>
      <c r="U7" s="9">
        <f>VLOOKUP(A7,[1]!Table1[[Investor]:[Total Amount]],20,FALSE)</f>
        <v>0</v>
      </c>
      <c r="V7" s="9" t="b">
        <f t="shared" si="7"/>
        <v>1</v>
      </c>
      <c r="W7" s="143"/>
    </row>
    <row r="8" spans="1:23">
      <c r="A8" s="59" t="s">
        <v>1046</v>
      </c>
      <c r="B8" s="29" t="s">
        <v>690</v>
      </c>
      <c r="C8" s="29" t="s">
        <v>691</v>
      </c>
      <c r="D8" s="9">
        <f>SUMIF(Main_Data_Sales!$B$2:$B$261,'Investor Master Data'!$C8,Main_Data_Sales!$T$2:$T$261)</f>
        <v>0</v>
      </c>
      <c r="E8" s="9">
        <f>SUMIF(Main_Data_Service!$B$2:$B$111,'Investor Master Data'!$C8,Main_Data_Service!$T$2:$T$111)</f>
        <v>0</v>
      </c>
      <c r="F8" s="64">
        <f t="shared" si="0"/>
        <v>0</v>
      </c>
      <c r="G8" s="52">
        <v>0.66666666666666663</v>
      </c>
      <c r="H8" s="52">
        <v>1.0035244702702708</v>
      </c>
      <c r="I8" s="24">
        <f t="shared" si="1"/>
        <v>0</v>
      </c>
      <c r="J8" s="24">
        <f t="shared" si="2"/>
        <v>0</v>
      </c>
      <c r="K8" s="24">
        <f t="shared" si="3"/>
        <v>0</v>
      </c>
      <c r="L8" s="24">
        <f t="shared" si="4"/>
        <v>0</v>
      </c>
      <c r="M8" s="24">
        <f t="shared" si="5"/>
        <v>0</v>
      </c>
      <c r="N8" s="3" t="s">
        <v>609</v>
      </c>
      <c r="O8" s="117">
        <v>78</v>
      </c>
      <c r="P8" s="117">
        <v>318</v>
      </c>
      <c r="Q8" s="117" t="s">
        <v>1043</v>
      </c>
      <c r="R8" s="142">
        <v>0</v>
      </c>
      <c r="S8" s="127">
        <v>0.72727272727272729</v>
      </c>
      <c r="T8" s="9">
        <f t="shared" si="6"/>
        <v>0</v>
      </c>
      <c r="U8" s="9">
        <f>VLOOKUP(A8,[1]!Table1[[Investor]:[Total Amount]],20,FALSE)</f>
        <v>0</v>
      </c>
      <c r="V8" s="9" t="b">
        <f t="shared" si="7"/>
        <v>1</v>
      </c>
      <c r="W8" s="143"/>
    </row>
    <row r="9" spans="1:23">
      <c r="A9" s="122" t="s">
        <v>614</v>
      </c>
      <c r="B9" s="29" t="s">
        <v>5</v>
      </c>
      <c r="C9" s="29" t="s">
        <v>513</v>
      </c>
      <c r="D9" s="9">
        <f>SUMIF(Main_Data_Sales!$B$2:$B$261,'Investor Master Data'!$C9,Main_Data_Sales!$T$2:$T$261)</f>
        <v>0</v>
      </c>
      <c r="E9" s="9">
        <f>SUMIF(Main_Data_Service!$B$2:$B$111,'Investor Master Data'!$C9,Main_Data_Service!$T$2:$T$111)</f>
        <v>0</v>
      </c>
      <c r="F9" s="64">
        <f t="shared" si="0"/>
        <v>0</v>
      </c>
      <c r="G9" s="52">
        <v>0</v>
      </c>
      <c r="H9" s="52">
        <v>0</v>
      </c>
      <c r="I9" s="24">
        <f t="shared" si="1"/>
        <v>0</v>
      </c>
      <c r="J9" s="24">
        <f t="shared" si="2"/>
        <v>0</v>
      </c>
      <c r="K9" s="24">
        <f t="shared" si="3"/>
        <v>0</v>
      </c>
      <c r="L9" s="24">
        <f t="shared" si="4"/>
        <v>0</v>
      </c>
      <c r="M9" s="24">
        <f t="shared" si="5"/>
        <v>0</v>
      </c>
      <c r="N9" s="3">
        <v>0</v>
      </c>
      <c r="O9" s="117">
        <v>0</v>
      </c>
      <c r="P9" s="117">
        <v>0</v>
      </c>
      <c r="Q9" s="117" t="s">
        <v>1043</v>
      </c>
      <c r="R9" s="142">
        <v>0</v>
      </c>
      <c r="S9" s="127">
        <v>0</v>
      </c>
      <c r="T9" s="9">
        <f t="shared" si="6"/>
        <v>0</v>
      </c>
      <c r="U9" s="9">
        <v>0</v>
      </c>
      <c r="V9" s="9" t="b">
        <f t="shared" si="7"/>
        <v>1</v>
      </c>
      <c r="W9" s="143"/>
    </row>
    <row r="10" spans="1:23">
      <c r="A10" s="122" t="s">
        <v>616</v>
      </c>
      <c r="B10" s="29" t="s">
        <v>6</v>
      </c>
      <c r="C10" s="29" t="s">
        <v>487</v>
      </c>
      <c r="D10" s="9">
        <f>SUMIF(Main_Data_Sales!$B$2:$B$261,'Investor Master Data'!$C10,Main_Data_Sales!$T$2:$T$261)</f>
        <v>166</v>
      </c>
      <c r="E10" s="9">
        <f>SUMIF(Main_Data_Service!$B$2:$B$111,'Investor Master Data'!$C10,Main_Data_Service!$T$2:$T$111)</f>
        <v>260</v>
      </c>
      <c r="F10" s="64">
        <f t="shared" si="0"/>
        <v>426</v>
      </c>
      <c r="G10" s="52">
        <v>1.0125</v>
      </c>
      <c r="H10" s="52">
        <v>1.012234813380283</v>
      </c>
      <c r="I10" s="24">
        <f t="shared" si="1"/>
        <v>0</v>
      </c>
      <c r="J10" s="24">
        <f t="shared" si="2"/>
        <v>0</v>
      </c>
      <c r="K10" s="24">
        <f t="shared" si="3"/>
        <v>0</v>
      </c>
      <c r="L10" s="24">
        <f t="shared" si="4"/>
        <v>0</v>
      </c>
      <c r="M10" s="24">
        <f t="shared" si="5"/>
        <v>0</v>
      </c>
      <c r="N10" s="3" t="s">
        <v>608</v>
      </c>
      <c r="O10" s="117">
        <v>81</v>
      </c>
      <c r="P10" s="117">
        <v>197</v>
      </c>
      <c r="Q10" s="117" t="s">
        <v>1043</v>
      </c>
      <c r="R10" s="142">
        <v>900000</v>
      </c>
      <c r="S10" s="127">
        <v>1.1304347826086956</v>
      </c>
      <c r="T10" s="9">
        <f t="shared" si="6"/>
        <v>0</v>
      </c>
      <c r="U10" s="9">
        <f>VLOOKUP(A10,[1]!Table1[[Investor]:[Total Amount]],20,FALSE)</f>
        <v>0</v>
      </c>
      <c r="V10" s="9" t="b">
        <f t="shared" si="7"/>
        <v>1</v>
      </c>
      <c r="W10" s="143"/>
    </row>
    <row r="11" spans="1:23">
      <c r="A11" s="122" t="s">
        <v>617</v>
      </c>
      <c r="B11" s="29" t="s">
        <v>7</v>
      </c>
      <c r="C11" s="29" t="s">
        <v>488</v>
      </c>
      <c r="D11" s="9">
        <f>SUMIF(Main_Data_Sales!$B$2:$B$261,'Investor Master Data'!$C11,Main_Data_Sales!$T$2:$T$261)</f>
        <v>137</v>
      </c>
      <c r="E11" s="9">
        <f>SUMIF(Main_Data_Service!$B$2:$B$111,'Investor Master Data'!$C11,Main_Data_Service!$T$2:$T$111)</f>
        <v>0</v>
      </c>
      <c r="F11" s="64">
        <f t="shared" si="0"/>
        <v>137</v>
      </c>
      <c r="G11" s="52">
        <v>0.95652173913043481</v>
      </c>
      <c r="H11" s="52">
        <v>0.66371659163346663</v>
      </c>
      <c r="I11" s="24">
        <f t="shared" si="1"/>
        <v>0</v>
      </c>
      <c r="J11" s="24">
        <f t="shared" si="2"/>
        <v>0</v>
      </c>
      <c r="K11" s="24">
        <f t="shared" si="3"/>
        <v>0</v>
      </c>
      <c r="L11" s="24">
        <f t="shared" si="4"/>
        <v>0</v>
      </c>
      <c r="M11" s="24">
        <f t="shared" si="5"/>
        <v>0</v>
      </c>
      <c r="N11" s="3" t="s">
        <v>608</v>
      </c>
      <c r="O11" s="117">
        <v>44</v>
      </c>
      <c r="P11" s="117">
        <v>148</v>
      </c>
      <c r="Q11" s="117" t="s">
        <v>1043</v>
      </c>
      <c r="R11" s="142">
        <v>148000</v>
      </c>
      <c r="S11" s="127">
        <v>0.8571428571428571</v>
      </c>
      <c r="T11" s="9">
        <f t="shared" si="6"/>
        <v>0</v>
      </c>
      <c r="U11" s="9">
        <f>VLOOKUP(A11,[1]!Table1[[Investor]:[Total Amount]],20,FALSE)</f>
        <v>0</v>
      </c>
      <c r="V11" s="9" t="b">
        <f t="shared" si="7"/>
        <v>1</v>
      </c>
      <c r="W11" s="143"/>
    </row>
    <row r="12" spans="1:23">
      <c r="A12" s="122" t="s">
        <v>678</v>
      </c>
      <c r="B12" s="29" t="s">
        <v>8</v>
      </c>
      <c r="C12" s="29" t="s">
        <v>502</v>
      </c>
      <c r="D12" s="9">
        <f>SUMIF(Main_Data_Sales!$B$2:$B$261,'Investor Master Data'!$C12,Main_Data_Sales!$T$2:$T$261)</f>
        <v>0</v>
      </c>
      <c r="E12" s="9">
        <f>SUMIF(Main_Data_Service!$B$2:$B$111,'Investor Master Data'!$C12,Main_Data_Service!$T$2:$T$111)</f>
        <v>0</v>
      </c>
      <c r="F12" s="64">
        <f t="shared" si="0"/>
        <v>0</v>
      </c>
      <c r="G12" s="52">
        <v>0.83471074380165289</v>
      </c>
      <c r="H12" s="52">
        <v>0.97989442388758841</v>
      </c>
      <c r="I12" s="24">
        <f t="shared" si="1"/>
        <v>0</v>
      </c>
      <c r="J12" s="24">
        <f t="shared" si="2"/>
        <v>0</v>
      </c>
      <c r="K12" s="24">
        <f t="shared" si="3"/>
        <v>0</v>
      </c>
      <c r="L12" s="24">
        <f t="shared" si="4"/>
        <v>0</v>
      </c>
      <c r="M12" s="24">
        <f t="shared" si="5"/>
        <v>0</v>
      </c>
      <c r="N12" s="3" t="s">
        <v>609</v>
      </c>
      <c r="O12" s="117">
        <v>101</v>
      </c>
      <c r="P12" s="117">
        <v>355</v>
      </c>
      <c r="Q12" s="117" t="s">
        <v>1043</v>
      </c>
      <c r="R12" s="142">
        <v>0</v>
      </c>
      <c r="S12" s="127">
        <v>0.69421487603305787</v>
      </c>
      <c r="T12" s="9">
        <f t="shared" si="6"/>
        <v>0</v>
      </c>
      <c r="U12" s="9">
        <f>VLOOKUP(A12,[1]!Table1[[Investor]:[Total Amount]],20,FALSE)</f>
        <v>0</v>
      </c>
      <c r="V12" s="9" t="b">
        <f t="shared" si="7"/>
        <v>1</v>
      </c>
      <c r="W12" s="143"/>
    </row>
    <row r="13" spans="1:23">
      <c r="A13" s="122" t="s">
        <v>618</v>
      </c>
      <c r="B13" s="29" t="s">
        <v>9</v>
      </c>
      <c r="C13" s="29" t="s">
        <v>501</v>
      </c>
      <c r="D13" s="9">
        <f>SUMIF(Main_Data_Sales!$B$2:$B$261,'Investor Master Data'!$C13,Main_Data_Sales!$T$2:$T$261)</f>
        <v>293</v>
      </c>
      <c r="E13" s="9">
        <f>SUMIF(Main_Data_Service!$B$2:$B$111,'Investor Master Data'!$C13,Main_Data_Service!$T$2:$T$111)</f>
        <v>0</v>
      </c>
      <c r="F13" s="64">
        <f t="shared" si="0"/>
        <v>293</v>
      </c>
      <c r="G13" s="52">
        <v>1.013986013986014</v>
      </c>
      <c r="H13" s="52">
        <v>0.99336166082474375</v>
      </c>
      <c r="I13" s="24">
        <f t="shared" si="1"/>
        <v>0</v>
      </c>
      <c r="J13" s="24">
        <f t="shared" si="2"/>
        <v>0</v>
      </c>
      <c r="K13" s="24">
        <f t="shared" si="3"/>
        <v>0</v>
      </c>
      <c r="L13" s="24">
        <f t="shared" si="4"/>
        <v>0</v>
      </c>
      <c r="M13" s="24">
        <f t="shared" si="5"/>
        <v>0</v>
      </c>
      <c r="N13" s="3" t="s">
        <v>610</v>
      </c>
      <c r="O13" s="117">
        <v>145</v>
      </c>
      <c r="P13" s="117">
        <v>536</v>
      </c>
      <c r="Q13" s="117" t="s">
        <v>1043</v>
      </c>
      <c r="R13" s="142">
        <v>1100000</v>
      </c>
      <c r="S13" s="127">
        <v>1.1297709923664123</v>
      </c>
      <c r="T13" s="9">
        <f t="shared" si="6"/>
        <v>0</v>
      </c>
      <c r="U13" s="9">
        <f>VLOOKUP(A13,[1]!Table1[[Investor]:[Total Amount]],20,FALSE)</f>
        <v>0</v>
      </c>
      <c r="V13" s="9" t="b">
        <f t="shared" si="7"/>
        <v>1</v>
      </c>
      <c r="W13" s="143"/>
    </row>
    <row r="14" spans="1:23">
      <c r="A14" s="122" t="s">
        <v>619</v>
      </c>
      <c r="B14" s="29" t="s">
        <v>10</v>
      </c>
      <c r="C14" s="29" t="s">
        <v>514</v>
      </c>
      <c r="D14" s="9">
        <f>SUMIF(Main_Data_Sales!$B$2:$B$261,'Investor Master Data'!$C14,Main_Data_Sales!$T$2:$T$261)</f>
        <v>286</v>
      </c>
      <c r="E14" s="9">
        <f>SUMIF(Main_Data_Service!$B$2:$B$111,'Investor Master Data'!$C14,Main_Data_Service!$T$2:$T$111)</f>
        <v>260</v>
      </c>
      <c r="F14" s="64">
        <f t="shared" si="0"/>
        <v>546</v>
      </c>
      <c r="G14" s="52">
        <v>1.0487804878048781</v>
      </c>
      <c r="H14" s="52">
        <v>1.607059750000001</v>
      </c>
      <c r="I14" s="24">
        <f t="shared" si="1"/>
        <v>0</v>
      </c>
      <c r="J14" s="24">
        <f t="shared" si="2"/>
        <v>0</v>
      </c>
      <c r="K14" s="24">
        <f t="shared" si="3"/>
        <v>0</v>
      </c>
      <c r="L14" s="24">
        <f t="shared" si="4"/>
        <v>0</v>
      </c>
      <c r="M14" s="24">
        <f t="shared" si="5"/>
        <v>0</v>
      </c>
      <c r="N14" s="3" t="s">
        <v>608</v>
      </c>
      <c r="O14" s="117">
        <v>43</v>
      </c>
      <c r="P14" s="117">
        <v>87</v>
      </c>
      <c r="Q14" s="117" t="s">
        <v>1043</v>
      </c>
      <c r="R14" s="142">
        <v>300000</v>
      </c>
      <c r="S14" s="127">
        <v>1.0333333333333334</v>
      </c>
      <c r="T14" s="9">
        <f t="shared" si="6"/>
        <v>0</v>
      </c>
      <c r="U14" s="9">
        <f>VLOOKUP(A14,[1]!Table1[[Investor]:[Total Amount]],20,FALSE)</f>
        <v>0</v>
      </c>
      <c r="V14" s="9" t="b">
        <f t="shared" si="7"/>
        <v>1</v>
      </c>
      <c r="W14" s="143"/>
    </row>
    <row r="15" spans="1:23">
      <c r="A15" s="122" t="s">
        <v>620</v>
      </c>
      <c r="B15" s="29" t="s">
        <v>11</v>
      </c>
      <c r="C15" s="29" t="s">
        <v>503</v>
      </c>
      <c r="D15" s="9">
        <f>SUMIF(Main_Data_Sales!$B$2:$B$261,'Investor Master Data'!$C15,Main_Data_Sales!$T$2:$T$261)</f>
        <v>0</v>
      </c>
      <c r="E15" s="9">
        <f>SUMIF(Main_Data_Service!$B$2:$B$111,'Investor Master Data'!$C15,Main_Data_Service!$T$2:$T$111)</f>
        <v>0</v>
      </c>
      <c r="F15" s="64">
        <f t="shared" si="0"/>
        <v>0</v>
      </c>
      <c r="G15" s="52">
        <v>0.93181818181818177</v>
      </c>
      <c r="H15" s="52">
        <v>1.0509779326923081</v>
      </c>
      <c r="I15" s="24">
        <f t="shared" si="1"/>
        <v>0</v>
      </c>
      <c r="J15" s="24">
        <f t="shared" si="2"/>
        <v>0</v>
      </c>
      <c r="K15" s="24">
        <f t="shared" si="3"/>
        <v>0</v>
      </c>
      <c r="L15" s="24">
        <f t="shared" si="4"/>
        <v>0</v>
      </c>
      <c r="M15" s="24">
        <f t="shared" si="5"/>
        <v>0</v>
      </c>
      <c r="N15" s="3" t="s">
        <v>608</v>
      </c>
      <c r="O15" s="117">
        <v>41</v>
      </c>
      <c r="P15" s="117">
        <v>118</v>
      </c>
      <c r="Q15" s="117" t="s">
        <v>1043</v>
      </c>
      <c r="R15" s="142">
        <v>168000</v>
      </c>
      <c r="S15" s="127">
        <v>0.95</v>
      </c>
      <c r="T15" s="9">
        <f t="shared" si="6"/>
        <v>0</v>
      </c>
      <c r="U15" s="9">
        <f>VLOOKUP(A15,[1]!Table1[[Investor]:[Total Amount]],20,FALSE)</f>
        <v>0</v>
      </c>
      <c r="V15" s="9" t="b">
        <f t="shared" si="7"/>
        <v>1</v>
      </c>
      <c r="W15" s="143"/>
    </row>
    <row r="16" spans="1:23">
      <c r="A16" s="122" t="s">
        <v>621</v>
      </c>
      <c r="B16" s="29" t="s">
        <v>12</v>
      </c>
      <c r="C16" s="29" t="s">
        <v>484</v>
      </c>
      <c r="D16" s="9">
        <f>SUMIF(Main_Data_Sales!$B$2:$B$261,'Investor Master Data'!$C16,Main_Data_Sales!$T$2:$T$261)</f>
        <v>487</v>
      </c>
      <c r="E16" s="9">
        <f>SUMIF(Main_Data_Service!$B$2:$B$111,'Investor Master Data'!$C16,Main_Data_Service!$T$2:$T$111)</f>
        <v>305</v>
      </c>
      <c r="F16" s="64">
        <f t="shared" si="0"/>
        <v>792</v>
      </c>
      <c r="G16" s="52">
        <v>2.347826086956522</v>
      </c>
      <c r="H16" s="52">
        <v>0.94140980392156892</v>
      </c>
      <c r="I16" s="24">
        <f t="shared" si="1"/>
        <v>450000</v>
      </c>
      <c r="J16" s="24">
        <f t="shared" si="2"/>
        <v>299376</v>
      </c>
      <c r="K16" s="24">
        <f t="shared" si="3"/>
        <v>36000</v>
      </c>
      <c r="L16" s="24">
        <f t="shared" si="4"/>
        <v>785376</v>
      </c>
      <c r="M16" s="24">
        <f t="shared" si="5"/>
        <v>8988.4444444444453</v>
      </c>
      <c r="N16" s="3" t="s">
        <v>608</v>
      </c>
      <c r="O16" s="117">
        <v>54</v>
      </c>
      <c r="P16" s="117">
        <v>141</v>
      </c>
      <c r="Q16" s="117" t="s">
        <v>1043</v>
      </c>
      <c r="R16" s="142">
        <v>720000</v>
      </c>
      <c r="S16" s="127">
        <v>1.2222222222222223</v>
      </c>
      <c r="T16" s="9">
        <f t="shared" si="6"/>
        <v>785376</v>
      </c>
      <c r="U16" s="9">
        <f>VLOOKUP(A16,[1]!Table1[[Investor]:[Total Amount]],20,FALSE)</f>
        <v>785376</v>
      </c>
      <c r="V16" s="9" t="b">
        <f t="shared" si="7"/>
        <v>1</v>
      </c>
      <c r="W16" s="143"/>
    </row>
    <row r="17" spans="1:23">
      <c r="A17" s="122" t="s">
        <v>623</v>
      </c>
      <c r="B17" s="29" t="s">
        <v>14</v>
      </c>
      <c r="C17" s="29" t="s">
        <v>515</v>
      </c>
      <c r="D17" s="9">
        <f>SUMIF(Main_Data_Sales!$B$2:$B$261,'Investor Master Data'!$C17,Main_Data_Sales!$T$2:$T$261)</f>
        <v>255</v>
      </c>
      <c r="E17" s="9">
        <f>SUMIF(Main_Data_Service!$B$2:$B$111,'Investor Master Data'!$C17,Main_Data_Service!$T$2:$T$111)</f>
        <v>400</v>
      </c>
      <c r="F17" s="64">
        <f t="shared" si="0"/>
        <v>655</v>
      </c>
      <c r="G17" s="52">
        <v>1.0434782608695652</v>
      </c>
      <c r="H17" s="52">
        <v>0.92020618029739865</v>
      </c>
      <c r="I17" s="24">
        <f t="shared" si="1"/>
        <v>450000</v>
      </c>
      <c r="J17" s="24">
        <f t="shared" si="2"/>
        <v>330120</v>
      </c>
      <c r="K17" s="24">
        <f t="shared" si="3"/>
        <v>0</v>
      </c>
      <c r="L17" s="24">
        <f t="shared" si="4"/>
        <v>780120</v>
      </c>
      <c r="M17" s="24">
        <f t="shared" si="5"/>
        <v>6668.333333333333</v>
      </c>
      <c r="N17" s="3" t="s">
        <v>608</v>
      </c>
      <c r="O17" s="117">
        <v>72</v>
      </c>
      <c r="P17" s="117">
        <v>161</v>
      </c>
      <c r="Q17" s="117" t="s">
        <v>1043</v>
      </c>
      <c r="R17" s="142">
        <v>430000</v>
      </c>
      <c r="S17" s="127">
        <v>1.0338983050847457</v>
      </c>
      <c r="T17" s="9">
        <f t="shared" si="6"/>
        <v>780120</v>
      </c>
      <c r="U17" s="9">
        <f>VLOOKUP(A17,[1]!Table1[[Investor]:[Total Amount]],20,FALSE)</f>
        <v>780120</v>
      </c>
      <c r="V17" s="9" t="b">
        <f t="shared" si="7"/>
        <v>1</v>
      </c>
      <c r="W17" s="143"/>
    </row>
    <row r="18" spans="1:23">
      <c r="A18" s="122" t="s">
        <v>625</v>
      </c>
      <c r="B18" s="29" t="s">
        <v>15</v>
      </c>
      <c r="C18" s="29" t="s">
        <v>485</v>
      </c>
      <c r="D18" s="9">
        <f>SUMIF(Main_Data_Sales!$B$2:$B$261,'Investor Master Data'!$C18,Main_Data_Sales!$T$2:$T$261)</f>
        <v>55</v>
      </c>
      <c r="E18" s="9">
        <f>SUMIF(Main_Data_Service!$B$2:$B$111,'Investor Master Data'!$C18,Main_Data_Service!$T$2:$T$111)</f>
        <v>0</v>
      </c>
      <c r="F18" s="64">
        <f t="shared" si="0"/>
        <v>55</v>
      </c>
      <c r="G18" s="52">
        <v>1.3137254901960784</v>
      </c>
      <c r="H18" s="52">
        <v>0.84404486763699482</v>
      </c>
      <c r="I18" s="24">
        <f t="shared" si="1"/>
        <v>0</v>
      </c>
      <c r="J18" s="24">
        <f t="shared" si="2"/>
        <v>0</v>
      </c>
      <c r="K18" s="24">
        <f t="shared" si="3"/>
        <v>0</v>
      </c>
      <c r="L18" s="24">
        <f t="shared" si="4"/>
        <v>0</v>
      </c>
      <c r="M18" s="24">
        <f t="shared" si="5"/>
        <v>0</v>
      </c>
      <c r="N18" s="3" t="s">
        <v>610</v>
      </c>
      <c r="O18" s="117">
        <v>268</v>
      </c>
      <c r="P18" s="117">
        <v>598</v>
      </c>
      <c r="Q18" s="117" t="s">
        <v>1043</v>
      </c>
      <c r="R18" s="142">
        <v>3800000</v>
      </c>
      <c r="S18" s="127">
        <v>1.1342592592592593</v>
      </c>
      <c r="T18" s="9">
        <f t="shared" si="6"/>
        <v>0</v>
      </c>
      <c r="U18" s="9">
        <f>VLOOKUP(A18,[1]!Table1[[Investor]:[Total Amount]],20,FALSE)</f>
        <v>0</v>
      </c>
      <c r="V18" s="9" t="b">
        <f t="shared" si="7"/>
        <v>1</v>
      </c>
      <c r="W18" s="143"/>
    </row>
    <row r="19" spans="1:23">
      <c r="A19" s="122" t="s">
        <v>626</v>
      </c>
      <c r="B19" s="29" t="s">
        <v>16</v>
      </c>
      <c r="C19" s="29" t="s">
        <v>516</v>
      </c>
      <c r="D19" s="9">
        <f>SUMIF(Main_Data_Sales!$B$2:$B$261,'Investor Master Data'!$C19,Main_Data_Sales!$T$2:$T$261)</f>
        <v>480</v>
      </c>
      <c r="E19" s="9">
        <f>SUMIF(Main_Data_Service!$B$2:$B$111,'Investor Master Data'!$C19,Main_Data_Service!$T$2:$T$111)</f>
        <v>385</v>
      </c>
      <c r="F19" s="64">
        <f t="shared" si="0"/>
        <v>865</v>
      </c>
      <c r="G19" s="52">
        <v>1.0256410256410255</v>
      </c>
      <c r="H19" s="52">
        <v>1.0582595066921601</v>
      </c>
      <c r="I19" s="24">
        <f t="shared" si="1"/>
        <v>450000</v>
      </c>
      <c r="J19" s="24">
        <f t="shared" si="2"/>
        <v>484400</v>
      </c>
      <c r="K19" s="24">
        <f t="shared" si="3"/>
        <v>39750</v>
      </c>
      <c r="L19" s="24">
        <f t="shared" si="4"/>
        <v>974150</v>
      </c>
      <c r="M19" s="24">
        <f t="shared" si="5"/>
        <v>8426.875</v>
      </c>
      <c r="N19" s="3" t="s">
        <v>608</v>
      </c>
      <c r="O19" s="117">
        <v>80</v>
      </c>
      <c r="P19" s="117">
        <v>174</v>
      </c>
      <c r="Q19" s="117" t="s">
        <v>1043</v>
      </c>
      <c r="R19" s="142">
        <v>795000</v>
      </c>
      <c r="S19" s="127">
        <v>1.1475409836065573</v>
      </c>
      <c r="T19" s="9">
        <f t="shared" si="6"/>
        <v>974150</v>
      </c>
      <c r="U19" s="9">
        <f>VLOOKUP(A19,[1]!Table1[[Investor]:[Total Amount]],20,FALSE)</f>
        <v>974150</v>
      </c>
      <c r="V19" s="9" t="b">
        <f t="shared" si="7"/>
        <v>1</v>
      </c>
      <c r="W19" s="143"/>
    </row>
    <row r="20" spans="1:23">
      <c r="A20" s="122" t="s">
        <v>627</v>
      </c>
      <c r="B20" s="29" t="s">
        <v>17</v>
      </c>
      <c r="C20" s="29" t="s">
        <v>517</v>
      </c>
      <c r="D20" s="9">
        <f>SUMIF(Main_Data_Sales!$B$2:$B$261,'Investor Master Data'!$C20,Main_Data_Sales!$T$2:$T$261)</f>
        <v>0</v>
      </c>
      <c r="E20" s="9">
        <f>SUMIF(Main_Data_Service!$B$2:$B$111,'Investor Master Data'!$C20,Main_Data_Service!$T$2:$T$111)</f>
        <v>180</v>
      </c>
      <c r="F20" s="64">
        <f t="shared" si="0"/>
        <v>180</v>
      </c>
      <c r="G20" s="52">
        <v>1.2857142857142858</v>
      </c>
      <c r="H20" s="52">
        <v>1.2926704696969704</v>
      </c>
      <c r="I20" s="24">
        <f t="shared" si="1"/>
        <v>0</v>
      </c>
      <c r="J20" s="24">
        <f t="shared" si="2"/>
        <v>0</v>
      </c>
      <c r="K20" s="24">
        <f t="shared" si="3"/>
        <v>0</v>
      </c>
      <c r="L20" s="24">
        <f t="shared" si="4"/>
        <v>0</v>
      </c>
      <c r="M20" s="24">
        <f t="shared" si="5"/>
        <v>0</v>
      </c>
      <c r="N20" s="3" t="s">
        <v>608</v>
      </c>
      <c r="O20" s="117">
        <v>36</v>
      </c>
      <c r="P20" s="117">
        <v>96</v>
      </c>
      <c r="Q20" s="117" t="s">
        <v>1043</v>
      </c>
      <c r="R20" s="142">
        <v>360000</v>
      </c>
      <c r="S20" s="127">
        <v>1</v>
      </c>
      <c r="T20" s="9">
        <f t="shared" si="6"/>
        <v>0</v>
      </c>
      <c r="U20" s="9">
        <f>VLOOKUP(A20,[1]!Table1[[Investor]:[Total Amount]],20,FALSE)</f>
        <v>0</v>
      </c>
      <c r="V20" s="9" t="b">
        <f t="shared" si="7"/>
        <v>1</v>
      </c>
      <c r="W20" s="143"/>
    </row>
    <row r="21" spans="1:23">
      <c r="A21" s="122" t="s">
        <v>628</v>
      </c>
      <c r="B21" s="29" t="s">
        <v>18</v>
      </c>
      <c r="C21" s="29" t="s">
        <v>518</v>
      </c>
      <c r="D21" s="9">
        <f>SUMIF(Main_Data_Sales!$B$2:$B$261,'Investor Master Data'!$C21,Main_Data_Sales!$T$2:$T$261)</f>
        <v>0</v>
      </c>
      <c r="E21" s="9">
        <f>SUMIF(Main_Data_Service!$B$2:$B$111,'Investor Master Data'!$C21,Main_Data_Service!$T$2:$T$111)</f>
        <v>0</v>
      </c>
      <c r="F21" s="64">
        <f t="shared" si="0"/>
        <v>0</v>
      </c>
      <c r="G21" s="52">
        <v>0.90625</v>
      </c>
      <c r="H21" s="52">
        <v>0.7881997401574804</v>
      </c>
      <c r="I21" s="24">
        <f t="shared" si="1"/>
        <v>0</v>
      </c>
      <c r="J21" s="24">
        <f t="shared" si="2"/>
        <v>0</v>
      </c>
      <c r="K21" s="24">
        <f t="shared" si="3"/>
        <v>0</v>
      </c>
      <c r="L21" s="24">
        <f t="shared" si="4"/>
        <v>0</v>
      </c>
      <c r="M21" s="24">
        <f t="shared" si="5"/>
        <v>0</v>
      </c>
      <c r="N21" s="3" t="s">
        <v>608</v>
      </c>
      <c r="O21" s="117">
        <v>29</v>
      </c>
      <c r="P21" s="117">
        <v>72</v>
      </c>
      <c r="Q21" s="117" t="s">
        <v>1043</v>
      </c>
      <c r="R21" s="142">
        <v>152000</v>
      </c>
      <c r="S21" s="127">
        <v>1</v>
      </c>
      <c r="T21" s="9">
        <f t="shared" si="6"/>
        <v>0</v>
      </c>
      <c r="U21" s="9">
        <f>VLOOKUP(A21,[1]!Table1[[Investor]:[Total Amount]],20,FALSE)</f>
        <v>0</v>
      </c>
      <c r="V21" s="9" t="b">
        <f t="shared" si="7"/>
        <v>1</v>
      </c>
      <c r="W21" s="143"/>
    </row>
    <row r="22" spans="1:23">
      <c r="A22" s="122" t="s">
        <v>629</v>
      </c>
      <c r="B22" s="29" t="s">
        <v>19</v>
      </c>
      <c r="C22" s="29" t="s">
        <v>519</v>
      </c>
      <c r="D22" s="9">
        <f>SUMIF(Main_Data_Sales!$B$2:$B$261,'Investor Master Data'!$C22,Main_Data_Sales!$T$2:$T$261)</f>
        <v>309</v>
      </c>
      <c r="E22" s="9">
        <f>SUMIF(Main_Data_Service!$B$2:$B$111,'Investor Master Data'!$C22,Main_Data_Service!$T$2:$T$111)</f>
        <v>0</v>
      </c>
      <c r="F22" s="64">
        <f t="shared" si="0"/>
        <v>309</v>
      </c>
      <c r="G22" s="52">
        <v>1.0515463917525774</v>
      </c>
      <c r="H22" s="52">
        <v>1.1453661559496153</v>
      </c>
      <c r="I22" s="24">
        <f t="shared" si="1"/>
        <v>0</v>
      </c>
      <c r="J22" s="24">
        <f t="shared" si="2"/>
        <v>0</v>
      </c>
      <c r="K22" s="24">
        <f t="shared" si="3"/>
        <v>0</v>
      </c>
      <c r="L22" s="24">
        <f t="shared" si="4"/>
        <v>0</v>
      </c>
      <c r="M22" s="24">
        <f t="shared" si="5"/>
        <v>0</v>
      </c>
      <c r="N22" s="3" t="s">
        <v>609</v>
      </c>
      <c r="O22" s="117">
        <v>102</v>
      </c>
      <c r="P22" s="117">
        <v>245</v>
      </c>
      <c r="Q22" s="117" t="s">
        <v>1043</v>
      </c>
      <c r="R22" s="142">
        <v>1005000</v>
      </c>
      <c r="S22" s="127">
        <v>1.0975609756097562</v>
      </c>
      <c r="T22" s="9">
        <f t="shared" si="6"/>
        <v>0</v>
      </c>
      <c r="U22" s="9">
        <f>VLOOKUP(A22,[1]!Table1[[Investor]:[Total Amount]],20,FALSE)</f>
        <v>0</v>
      </c>
      <c r="V22" s="9" t="b">
        <f t="shared" si="7"/>
        <v>1</v>
      </c>
      <c r="W22" s="143"/>
    </row>
    <row r="23" spans="1:23">
      <c r="A23" s="122" t="s">
        <v>630</v>
      </c>
      <c r="B23" s="29" t="s">
        <v>20</v>
      </c>
      <c r="C23" s="29" t="s">
        <v>520</v>
      </c>
      <c r="D23" s="9">
        <f>SUMIF(Main_Data_Sales!$B$2:$B$261,'Investor Master Data'!$C23,Main_Data_Sales!$T$2:$T$261)</f>
        <v>431</v>
      </c>
      <c r="E23" s="9">
        <f>SUMIF(Main_Data_Service!$B$2:$B$111,'Investor Master Data'!$C23,Main_Data_Service!$T$2:$T$111)</f>
        <v>465</v>
      </c>
      <c r="F23" s="64">
        <f t="shared" si="0"/>
        <v>896</v>
      </c>
      <c r="G23" s="52">
        <v>1.101010101010101</v>
      </c>
      <c r="H23" s="52">
        <v>1.1157297199646636</v>
      </c>
      <c r="I23" s="24">
        <f t="shared" si="1"/>
        <v>900000</v>
      </c>
      <c r="J23" s="24">
        <f t="shared" si="2"/>
        <v>1171968</v>
      </c>
      <c r="K23" s="24">
        <f t="shared" si="3"/>
        <v>169000</v>
      </c>
      <c r="L23" s="24">
        <f t="shared" si="4"/>
        <v>2240968</v>
      </c>
      <c r="M23" s="24">
        <f t="shared" si="5"/>
        <v>7527.3761467889908</v>
      </c>
      <c r="N23" s="3" t="s">
        <v>610</v>
      </c>
      <c r="O23" s="117">
        <v>218</v>
      </c>
      <c r="P23" s="117">
        <v>523</v>
      </c>
      <c r="Q23" s="117" t="s">
        <v>1043</v>
      </c>
      <c r="R23" s="142">
        <v>3380000</v>
      </c>
      <c r="S23" s="127">
        <v>1.1079545454545454</v>
      </c>
      <c r="T23" s="9">
        <f t="shared" si="6"/>
        <v>2240968</v>
      </c>
      <c r="U23" s="9">
        <f>VLOOKUP(A23,[1]!Table1[[Investor]:[Total Amount]],20,FALSE)</f>
        <v>2240968</v>
      </c>
      <c r="V23" s="9" t="b">
        <f t="shared" si="7"/>
        <v>1</v>
      </c>
      <c r="W23" s="143"/>
    </row>
    <row r="24" spans="1:23">
      <c r="A24" s="122" t="s">
        <v>631</v>
      </c>
      <c r="B24" s="29" t="s">
        <v>21</v>
      </c>
      <c r="C24" s="29" t="s">
        <v>521</v>
      </c>
      <c r="D24" s="9">
        <f>SUMIF(Main_Data_Sales!$B$2:$B$261,'Investor Master Data'!$C24,Main_Data_Sales!$T$2:$T$261)</f>
        <v>343</v>
      </c>
      <c r="E24" s="9">
        <f>SUMIF(Main_Data_Service!$B$2:$B$111,'Investor Master Data'!$C24,Main_Data_Service!$T$2:$T$111)</f>
        <v>195</v>
      </c>
      <c r="F24" s="64">
        <f t="shared" si="0"/>
        <v>538</v>
      </c>
      <c r="G24" s="52">
        <v>1.2295081967213115</v>
      </c>
      <c r="H24" s="52">
        <v>1.0094327573529422</v>
      </c>
      <c r="I24" s="24">
        <f t="shared" si="1"/>
        <v>0</v>
      </c>
      <c r="J24" s="24">
        <f t="shared" si="2"/>
        <v>0</v>
      </c>
      <c r="K24" s="24">
        <f t="shared" si="3"/>
        <v>0</v>
      </c>
      <c r="L24" s="24">
        <f t="shared" si="4"/>
        <v>0</v>
      </c>
      <c r="M24" s="24">
        <f t="shared" si="5"/>
        <v>0</v>
      </c>
      <c r="N24" s="3" t="s">
        <v>608</v>
      </c>
      <c r="O24" s="117">
        <v>75</v>
      </c>
      <c r="P24" s="117">
        <v>195</v>
      </c>
      <c r="Q24" s="117" t="s">
        <v>1043</v>
      </c>
      <c r="R24" s="142">
        <v>1100000</v>
      </c>
      <c r="S24" s="127">
        <v>1.1323529411764706</v>
      </c>
      <c r="T24" s="9">
        <f t="shared" si="6"/>
        <v>0</v>
      </c>
      <c r="U24" s="9">
        <f>VLOOKUP(A24,[1]!Table1[[Investor]:[Total Amount]],20,FALSE)</f>
        <v>0</v>
      </c>
      <c r="V24" s="9" t="b">
        <f t="shared" si="7"/>
        <v>1</v>
      </c>
      <c r="W24" s="143"/>
    </row>
    <row r="25" spans="1:23">
      <c r="A25" s="122" t="s">
        <v>1097</v>
      </c>
      <c r="B25" s="29" t="s">
        <v>1098</v>
      </c>
      <c r="C25" s="29" t="s">
        <v>1103</v>
      </c>
      <c r="D25" s="9">
        <f>SUMIF(Main_Data_Sales!$B$2:$B$261,'Investor Master Data'!$C25,Main_Data_Sales!$T$2:$T$261)</f>
        <v>0</v>
      </c>
      <c r="E25" s="9">
        <f>SUMIF(Main_Data_Service!$B$2:$B$111,'Investor Master Data'!$C25,Main_Data_Service!$T$2:$T$111)</f>
        <v>0</v>
      </c>
      <c r="F25" s="64">
        <f t="shared" si="0"/>
        <v>0</v>
      </c>
      <c r="G25" s="52">
        <v>4.0384615384615383</v>
      </c>
      <c r="H25" s="52">
        <v>1</v>
      </c>
      <c r="I25" s="24">
        <f t="shared" si="1"/>
        <v>0</v>
      </c>
      <c r="J25" s="24">
        <f t="shared" si="2"/>
        <v>0</v>
      </c>
      <c r="K25" s="24">
        <f t="shared" si="3"/>
        <v>0</v>
      </c>
      <c r="L25" s="24">
        <f t="shared" si="4"/>
        <v>0</v>
      </c>
      <c r="M25" s="24">
        <f t="shared" si="5"/>
        <v>0</v>
      </c>
      <c r="N25" s="3" t="s">
        <v>608</v>
      </c>
      <c r="O25" s="117">
        <v>105</v>
      </c>
      <c r="P25" s="117">
        <v>60</v>
      </c>
      <c r="Q25" s="117" t="s">
        <v>1039</v>
      </c>
      <c r="R25" s="142">
        <v>1380000</v>
      </c>
      <c r="S25" s="127">
        <v>1.3846153846153846</v>
      </c>
      <c r="T25" s="9">
        <f t="shared" si="6"/>
        <v>0</v>
      </c>
      <c r="U25" s="9">
        <f>VLOOKUP(A25,[1]!Table1[[Investor]:[Total Amount]],20,FALSE)</f>
        <v>0</v>
      </c>
      <c r="V25" s="9" t="b">
        <f t="shared" si="7"/>
        <v>1</v>
      </c>
      <c r="W25" s="143"/>
    </row>
    <row r="26" spans="1:23">
      <c r="A26" s="122" t="s">
        <v>633</v>
      </c>
      <c r="B26" s="29" t="s">
        <v>23</v>
      </c>
      <c r="C26" s="29" t="s">
        <v>508</v>
      </c>
      <c r="D26" s="9">
        <f>SUMIF(Main_Data_Sales!$B$2:$B$261,'Investor Master Data'!$C26,Main_Data_Sales!$T$2:$T$261)</f>
        <v>142</v>
      </c>
      <c r="E26" s="9">
        <f>SUMIF(Main_Data_Service!$B$2:$B$111,'Investor Master Data'!$C26,Main_Data_Service!$T$2:$T$111)</f>
        <v>44</v>
      </c>
      <c r="F26" s="64">
        <f t="shared" si="0"/>
        <v>186</v>
      </c>
      <c r="G26" s="52">
        <v>1.1716417910447761</v>
      </c>
      <c r="H26" s="52">
        <v>0.90835819661190953</v>
      </c>
      <c r="I26" s="24">
        <f t="shared" si="1"/>
        <v>0</v>
      </c>
      <c r="J26" s="24">
        <f t="shared" si="2"/>
        <v>0</v>
      </c>
      <c r="K26" s="24">
        <f t="shared" si="3"/>
        <v>0</v>
      </c>
      <c r="L26" s="24">
        <f t="shared" si="4"/>
        <v>0</v>
      </c>
      <c r="M26" s="24">
        <f t="shared" si="5"/>
        <v>0</v>
      </c>
      <c r="N26" s="3" t="s">
        <v>610</v>
      </c>
      <c r="O26" s="117">
        <v>157</v>
      </c>
      <c r="P26" s="117">
        <v>453</v>
      </c>
      <c r="Q26" s="117" t="s">
        <v>1043</v>
      </c>
      <c r="R26" s="142">
        <v>2180000</v>
      </c>
      <c r="S26" s="127">
        <v>1.1586206896551725</v>
      </c>
      <c r="T26" s="9">
        <f t="shared" si="6"/>
        <v>0</v>
      </c>
      <c r="U26" s="9">
        <f>VLOOKUP(A26,[1]!Table1[[Investor]:[Total Amount]],20,FALSE)</f>
        <v>0</v>
      </c>
      <c r="V26" s="9" t="b">
        <f t="shared" si="7"/>
        <v>1</v>
      </c>
      <c r="W26" s="143"/>
    </row>
    <row r="27" spans="1:23">
      <c r="A27" s="122" t="s">
        <v>634</v>
      </c>
      <c r="B27" s="29" t="s">
        <v>24</v>
      </c>
      <c r="C27" s="29" t="s">
        <v>522</v>
      </c>
      <c r="D27" s="9">
        <f>SUMIF(Main_Data_Sales!$B$2:$B$261,'Investor Master Data'!$C27,Main_Data_Sales!$T$2:$T$261)</f>
        <v>480</v>
      </c>
      <c r="E27" s="9">
        <f>SUMIF(Main_Data_Service!$B$2:$B$111,'Investor Master Data'!$C27,Main_Data_Service!$T$2:$T$111)</f>
        <v>255</v>
      </c>
      <c r="F27" s="64">
        <f t="shared" si="0"/>
        <v>735</v>
      </c>
      <c r="G27" s="52">
        <v>1.3</v>
      </c>
      <c r="H27" s="52">
        <v>1.2645097569060784</v>
      </c>
      <c r="I27" s="24">
        <f t="shared" si="1"/>
        <v>450000</v>
      </c>
      <c r="J27" s="24">
        <f t="shared" si="2"/>
        <v>133770</v>
      </c>
      <c r="K27" s="24">
        <f t="shared" si="3"/>
        <v>0</v>
      </c>
      <c r="L27" s="24">
        <f t="shared" si="4"/>
        <v>583770</v>
      </c>
      <c r="M27" s="24">
        <f t="shared" si="5"/>
        <v>10914.23076923077</v>
      </c>
      <c r="N27" s="3" t="s">
        <v>608</v>
      </c>
      <c r="O27" s="117">
        <v>26</v>
      </c>
      <c r="P27" s="117">
        <v>97</v>
      </c>
      <c r="Q27" s="117" t="s">
        <v>1043</v>
      </c>
      <c r="R27" s="142">
        <v>260000</v>
      </c>
      <c r="S27" s="127">
        <v>1.1333333333333333</v>
      </c>
      <c r="T27" s="9">
        <f t="shared" si="6"/>
        <v>583770</v>
      </c>
      <c r="U27" s="9">
        <f>VLOOKUP(A27,[1]!Table1[[Investor]:[Total Amount]],20,FALSE)</f>
        <v>583770</v>
      </c>
      <c r="V27" s="9" t="b">
        <f t="shared" si="7"/>
        <v>1</v>
      </c>
      <c r="W27" s="143"/>
    </row>
    <row r="28" spans="1:23">
      <c r="A28" s="122" t="s">
        <v>635</v>
      </c>
      <c r="B28" s="29" t="s">
        <v>25</v>
      </c>
      <c r="C28" s="29" t="s">
        <v>523</v>
      </c>
      <c r="D28" s="9">
        <f>SUMIF(Main_Data_Sales!$B$2:$B$261,'Investor Master Data'!$C28,Main_Data_Sales!$T$2:$T$261)</f>
        <v>0</v>
      </c>
      <c r="E28" s="9">
        <f>SUMIF(Main_Data_Service!$B$2:$B$111,'Investor Master Data'!$C28,Main_Data_Service!$T$2:$T$111)</f>
        <v>0</v>
      </c>
      <c r="F28" s="64">
        <f t="shared" si="0"/>
        <v>0</v>
      </c>
      <c r="G28" s="52">
        <v>0.61290322580645162</v>
      </c>
      <c r="H28" s="52">
        <v>0.69712890909090908</v>
      </c>
      <c r="I28" s="24">
        <f t="shared" si="1"/>
        <v>0</v>
      </c>
      <c r="J28" s="24">
        <f t="shared" si="2"/>
        <v>0</v>
      </c>
      <c r="K28" s="24">
        <f t="shared" si="3"/>
        <v>0</v>
      </c>
      <c r="L28" s="24">
        <f t="shared" si="4"/>
        <v>0</v>
      </c>
      <c r="M28" s="24">
        <f t="shared" si="5"/>
        <v>0</v>
      </c>
      <c r="N28" s="3" t="s">
        <v>608</v>
      </c>
      <c r="O28" s="117">
        <v>19</v>
      </c>
      <c r="P28" s="117">
        <v>62</v>
      </c>
      <c r="Q28" s="117" t="s">
        <v>1043</v>
      </c>
      <c r="R28" s="142">
        <v>0</v>
      </c>
      <c r="S28" s="127">
        <v>0.91666666666666663</v>
      </c>
      <c r="T28" s="9">
        <f t="shared" si="6"/>
        <v>0</v>
      </c>
      <c r="U28" s="9">
        <f>VLOOKUP(A28,[1]!Table1[[Investor]:[Total Amount]],20,FALSE)</f>
        <v>0</v>
      </c>
      <c r="V28" s="9" t="b">
        <f t="shared" si="7"/>
        <v>1</v>
      </c>
      <c r="W28" s="143"/>
    </row>
    <row r="29" spans="1:23">
      <c r="A29" s="122" t="s">
        <v>636</v>
      </c>
      <c r="B29" s="29" t="s">
        <v>27</v>
      </c>
      <c r="C29" s="29" t="s">
        <v>524</v>
      </c>
      <c r="D29" s="9">
        <f>SUMIF(Main_Data_Sales!$B$2:$B$261,'Investor Master Data'!$C29,Main_Data_Sales!$T$2:$T$261)</f>
        <v>102</v>
      </c>
      <c r="E29" s="9">
        <f>SUMIF(Main_Data_Service!$B$2:$B$111,'Investor Master Data'!$C29,Main_Data_Service!$T$2:$T$111)</f>
        <v>0</v>
      </c>
      <c r="F29" s="64">
        <f t="shared" si="0"/>
        <v>102</v>
      </c>
      <c r="G29" s="52">
        <v>1.2142857142857142</v>
      </c>
      <c r="H29" s="52">
        <v>0.84865822739623764</v>
      </c>
      <c r="I29" s="24">
        <f t="shared" si="1"/>
        <v>0</v>
      </c>
      <c r="J29" s="24">
        <f t="shared" si="2"/>
        <v>0</v>
      </c>
      <c r="K29" s="24">
        <f t="shared" si="3"/>
        <v>0</v>
      </c>
      <c r="L29" s="24">
        <f t="shared" si="4"/>
        <v>0</v>
      </c>
      <c r="M29" s="24">
        <f t="shared" si="5"/>
        <v>0</v>
      </c>
      <c r="N29" s="3" t="s">
        <v>610</v>
      </c>
      <c r="O29" s="117">
        <v>238</v>
      </c>
      <c r="P29" s="117">
        <v>582</v>
      </c>
      <c r="Q29" s="117" t="s">
        <v>1043</v>
      </c>
      <c r="R29" s="142">
        <v>2265000</v>
      </c>
      <c r="S29" s="127">
        <v>1.0292682926829269</v>
      </c>
      <c r="T29" s="9">
        <f t="shared" si="6"/>
        <v>0</v>
      </c>
      <c r="U29" s="9">
        <f>VLOOKUP(A29,[1]!Table1[[Investor]:[Total Amount]],20,FALSE)</f>
        <v>0</v>
      </c>
      <c r="V29" s="9" t="b">
        <f t="shared" si="7"/>
        <v>1</v>
      </c>
      <c r="W29" s="143"/>
    </row>
    <row r="30" spans="1:23">
      <c r="A30" s="122" t="s">
        <v>637</v>
      </c>
      <c r="B30" s="29" t="s">
        <v>28</v>
      </c>
      <c r="C30" s="29" t="s">
        <v>525</v>
      </c>
      <c r="D30" s="9">
        <f>SUMIF(Main_Data_Sales!$B$2:$B$261,'Investor Master Data'!$C30,Main_Data_Sales!$T$2:$T$261)</f>
        <v>0</v>
      </c>
      <c r="E30" s="9">
        <f>SUMIF(Main_Data_Service!$B$2:$B$111,'Investor Master Data'!$C30,Main_Data_Service!$T$2:$T$111)</f>
        <v>0</v>
      </c>
      <c r="F30" s="64">
        <f t="shared" si="0"/>
        <v>0</v>
      </c>
      <c r="G30" s="52">
        <v>0.90909090909090906</v>
      </c>
      <c r="H30" s="52">
        <v>0.26748430303030291</v>
      </c>
      <c r="I30" s="24">
        <f t="shared" si="1"/>
        <v>0</v>
      </c>
      <c r="J30" s="24">
        <f t="shared" si="2"/>
        <v>0</v>
      </c>
      <c r="K30" s="24">
        <f t="shared" si="3"/>
        <v>0</v>
      </c>
      <c r="L30" s="24">
        <f t="shared" si="4"/>
        <v>0</v>
      </c>
      <c r="M30" s="24">
        <f t="shared" si="5"/>
        <v>0</v>
      </c>
      <c r="N30" s="3" t="s">
        <v>608</v>
      </c>
      <c r="O30" s="117">
        <v>10</v>
      </c>
      <c r="P30" s="117">
        <v>36</v>
      </c>
      <c r="Q30" s="117" t="s">
        <v>1043</v>
      </c>
      <c r="R30" s="142">
        <v>30000</v>
      </c>
      <c r="S30" s="127">
        <v>0.9</v>
      </c>
      <c r="T30" s="9">
        <f t="shared" si="6"/>
        <v>0</v>
      </c>
      <c r="U30" s="9">
        <f>VLOOKUP(A30,[1]!Table1[[Investor]:[Total Amount]],20,FALSE)</f>
        <v>0</v>
      </c>
      <c r="V30" s="9" t="b">
        <f t="shared" si="7"/>
        <v>1</v>
      </c>
      <c r="W30" s="143"/>
    </row>
    <row r="31" spans="1:23">
      <c r="A31" s="122" t="s">
        <v>638</v>
      </c>
      <c r="B31" s="29" t="s">
        <v>29</v>
      </c>
      <c r="C31" s="29" t="s">
        <v>509</v>
      </c>
      <c r="D31" s="9">
        <f>SUMIF(Main_Data_Sales!$B$2:$B$261,'Investor Master Data'!$C31,Main_Data_Sales!$T$2:$T$261)</f>
        <v>405</v>
      </c>
      <c r="E31" s="9">
        <f>SUMIF(Main_Data_Service!$B$2:$B$111,'Investor Master Data'!$C31,Main_Data_Service!$T$2:$T$111)</f>
        <v>416</v>
      </c>
      <c r="F31" s="64">
        <f t="shared" si="0"/>
        <v>821</v>
      </c>
      <c r="G31" s="52">
        <v>1.0962962962962963</v>
      </c>
      <c r="H31" s="52">
        <v>1.0855080994940978</v>
      </c>
      <c r="I31" s="24">
        <f t="shared" si="1"/>
        <v>600000</v>
      </c>
      <c r="J31" s="24">
        <f t="shared" si="2"/>
        <v>850556</v>
      </c>
      <c r="K31" s="24">
        <f t="shared" si="3"/>
        <v>74250</v>
      </c>
      <c r="L31" s="24">
        <f t="shared" si="4"/>
        <v>1524806</v>
      </c>
      <c r="M31" s="24">
        <f t="shared" si="5"/>
        <v>7600.0405405405409</v>
      </c>
      <c r="N31" s="3" t="s">
        <v>609</v>
      </c>
      <c r="O31" s="117">
        <v>148</v>
      </c>
      <c r="P31" s="117">
        <v>399</v>
      </c>
      <c r="Q31" s="117" t="s">
        <v>1043</v>
      </c>
      <c r="R31" s="142">
        <v>1485000</v>
      </c>
      <c r="S31" s="127">
        <v>1.1014492753623188</v>
      </c>
      <c r="T31" s="9">
        <f t="shared" si="6"/>
        <v>1524806</v>
      </c>
      <c r="U31" s="9">
        <f>VLOOKUP(A31,[1]!Table1[[Investor]:[Total Amount]],20,FALSE)</f>
        <v>1524806</v>
      </c>
      <c r="V31" s="9" t="b">
        <f t="shared" si="7"/>
        <v>1</v>
      </c>
      <c r="W31" s="143"/>
    </row>
    <row r="32" spans="1:23">
      <c r="A32" s="122" t="s">
        <v>639</v>
      </c>
      <c r="B32" s="29" t="s">
        <v>30</v>
      </c>
      <c r="C32" s="29" t="s">
        <v>526</v>
      </c>
      <c r="D32" s="9">
        <f>SUMIF(Main_Data_Sales!$B$2:$B$261,'Investor Master Data'!$C32,Main_Data_Sales!$T$2:$T$261)</f>
        <v>349</v>
      </c>
      <c r="E32" s="9">
        <f>SUMIF(Main_Data_Service!$B$2:$B$111,'Investor Master Data'!$C32,Main_Data_Service!$T$2:$T$111)</f>
        <v>334</v>
      </c>
      <c r="F32" s="64">
        <f t="shared" si="0"/>
        <v>683</v>
      </c>
      <c r="G32" s="52">
        <v>1.4915254237288136</v>
      </c>
      <c r="H32" s="52">
        <v>1.0058721131221717</v>
      </c>
      <c r="I32" s="24">
        <f t="shared" si="1"/>
        <v>600000</v>
      </c>
      <c r="J32" s="24">
        <f t="shared" si="2"/>
        <v>841456.00000000012</v>
      </c>
      <c r="K32" s="24">
        <f t="shared" si="3"/>
        <v>0</v>
      </c>
      <c r="L32" s="24">
        <f t="shared" si="4"/>
        <v>1441456</v>
      </c>
      <c r="M32" s="24">
        <f t="shared" si="5"/>
        <v>5917.3636363636369</v>
      </c>
      <c r="N32" s="3" t="s">
        <v>609</v>
      </c>
      <c r="O32" s="117">
        <v>176</v>
      </c>
      <c r="P32" s="117">
        <v>421</v>
      </c>
      <c r="Q32" s="117" t="s">
        <v>1043</v>
      </c>
      <c r="R32" s="142">
        <v>2280000</v>
      </c>
      <c r="S32" s="127">
        <v>1.1510791366906474</v>
      </c>
      <c r="T32" s="9">
        <f t="shared" si="6"/>
        <v>1441456</v>
      </c>
      <c r="U32" s="9">
        <f>VLOOKUP(A32,[1]!Table1[[Investor]:[Total Amount]],20,FALSE)</f>
        <v>1441456</v>
      </c>
      <c r="V32" s="9" t="b">
        <f t="shared" si="7"/>
        <v>1</v>
      </c>
      <c r="W32" s="143"/>
    </row>
    <row r="33" spans="1:23">
      <c r="A33" s="122" t="s">
        <v>640</v>
      </c>
      <c r="B33" s="29" t="s">
        <v>58</v>
      </c>
      <c r="C33" s="29" t="s">
        <v>527</v>
      </c>
      <c r="D33" s="9">
        <f>SUMIF(Main_Data_Sales!$B$2:$B$261,'Investor Master Data'!$C33,Main_Data_Sales!$T$2:$T$261)</f>
        <v>346</v>
      </c>
      <c r="E33" s="9">
        <f>SUMIF(Main_Data_Service!$B$2:$B$111,'Investor Master Data'!$C33,Main_Data_Service!$T$2:$T$111)</f>
        <v>414</v>
      </c>
      <c r="F33" s="64">
        <f t="shared" si="0"/>
        <v>760</v>
      </c>
      <c r="G33" s="52">
        <v>1.1827956989247312</v>
      </c>
      <c r="H33" s="52">
        <v>1.0925414301075282</v>
      </c>
      <c r="I33" s="24">
        <f t="shared" si="1"/>
        <v>900000</v>
      </c>
      <c r="J33" s="24">
        <f t="shared" si="2"/>
        <v>501600</v>
      </c>
      <c r="K33" s="24">
        <f t="shared" si="3"/>
        <v>74000</v>
      </c>
      <c r="L33" s="24">
        <f t="shared" si="4"/>
        <v>1475600</v>
      </c>
      <c r="M33" s="24">
        <f t="shared" si="5"/>
        <v>7960</v>
      </c>
      <c r="N33" s="3" t="s">
        <v>610</v>
      </c>
      <c r="O33" s="117">
        <v>110</v>
      </c>
      <c r="P33" s="117">
        <v>305</v>
      </c>
      <c r="Q33" s="117" t="s">
        <v>1043</v>
      </c>
      <c r="R33" s="142">
        <v>1480000</v>
      </c>
      <c r="S33" s="127">
        <v>1.1081081081081081</v>
      </c>
      <c r="T33" s="9">
        <f t="shared" si="6"/>
        <v>1475600</v>
      </c>
      <c r="U33" s="9">
        <f>VLOOKUP(A33,[1]!Table1[[Investor]:[Total Amount]],20,FALSE)</f>
        <v>1475600</v>
      </c>
      <c r="V33" s="9" t="b">
        <f t="shared" si="7"/>
        <v>1</v>
      </c>
      <c r="W33" s="143"/>
    </row>
    <row r="34" spans="1:23">
      <c r="A34" s="122" t="s">
        <v>641</v>
      </c>
      <c r="B34" s="29" t="s">
        <v>59</v>
      </c>
      <c r="C34" s="29" t="s">
        <v>528</v>
      </c>
      <c r="D34" s="9">
        <f>SUMIF(Main_Data_Sales!$B$2:$B$261,'Investor Master Data'!$C34,Main_Data_Sales!$T$2:$T$261)</f>
        <v>375</v>
      </c>
      <c r="E34" s="9">
        <f>SUMIF(Main_Data_Service!$B$2:$B$111,'Investor Master Data'!$C34,Main_Data_Service!$T$2:$T$111)</f>
        <v>0</v>
      </c>
      <c r="F34" s="64">
        <f t="shared" si="0"/>
        <v>375</v>
      </c>
      <c r="G34" s="52">
        <v>1.2035398230088497</v>
      </c>
      <c r="H34" s="52">
        <v>0.90316732528589561</v>
      </c>
      <c r="I34" s="24">
        <f t="shared" si="1"/>
        <v>0</v>
      </c>
      <c r="J34" s="24">
        <f t="shared" si="2"/>
        <v>0</v>
      </c>
      <c r="K34" s="24">
        <f t="shared" si="3"/>
        <v>0</v>
      </c>
      <c r="L34" s="24">
        <f t="shared" si="4"/>
        <v>0</v>
      </c>
      <c r="M34" s="24">
        <f t="shared" si="5"/>
        <v>0</v>
      </c>
      <c r="N34" s="3" t="s">
        <v>610</v>
      </c>
      <c r="O34" s="117">
        <v>136</v>
      </c>
      <c r="P34" s="117">
        <v>328</v>
      </c>
      <c r="Q34" s="117" t="s">
        <v>1043</v>
      </c>
      <c r="R34" s="142">
        <v>1860000</v>
      </c>
      <c r="S34" s="127">
        <v>1.1065573770491803</v>
      </c>
      <c r="T34" s="9">
        <f t="shared" si="6"/>
        <v>0</v>
      </c>
      <c r="U34" s="9">
        <f>VLOOKUP(A34,[1]!Table1[[Investor]:[Total Amount]],20,FALSE)</f>
        <v>0</v>
      </c>
      <c r="V34" s="9" t="b">
        <f t="shared" si="7"/>
        <v>1</v>
      </c>
      <c r="W34" s="143"/>
    </row>
    <row r="35" spans="1:23">
      <c r="A35" s="122" t="s">
        <v>869</v>
      </c>
      <c r="B35" s="29" t="s">
        <v>1050</v>
      </c>
      <c r="C35" s="29" t="s">
        <v>1051</v>
      </c>
      <c r="D35" s="9">
        <f>SUMIF(Main_Data_Sales!$B$2:$B$261,'Investor Master Data'!$C35,Main_Data_Sales!$T$2:$T$261)</f>
        <v>439</v>
      </c>
      <c r="E35" s="9">
        <f>SUMIF(Main_Data_Service!$B$2:$B$111,'Investor Master Data'!$C35,Main_Data_Service!$T$2:$T$111)</f>
        <v>120</v>
      </c>
      <c r="F35" s="64">
        <f t="shared" si="0"/>
        <v>559</v>
      </c>
      <c r="G35" s="52">
        <v>0.93333333333333335</v>
      </c>
      <c r="H35" s="52">
        <v>0.97390584153005511</v>
      </c>
      <c r="I35" s="24">
        <f t="shared" si="1"/>
        <v>0</v>
      </c>
      <c r="J35" s="24">
        <f t="shared" si="2"/>
        <v>0</v>
      </c>
      <c r="K35" s="24">
        <f t="shared" si="3"/>
        <v>0</v>
      </c>
      <c r="L35" s="24">
        <f t="shared" si="4"/>
        <v>0</v>
      </c>
      <c r="M35" s="24">
        <f t="shared" si="5"/>
        <v>0</v>
      </c>
      <c r="N35" s="3" t="s">
        <v>609</v>
      </c>
      <c r="O35" s="117">
        <v>112</v>
      </c>
      <c r="P35" s="117">
        <v>377</v>
      </c>
      <c r="Q35" s="117" t="s">
        <v>1043</v>
      </c>
      <c r="R35" s="142">
        <v>252000</v>
      </c>
      <c r="S35" s="127">
        <v>0.86614173228346458</v>
      </c>
      <c r="T35" s="9">
        <f t="shared" si="6"/>
        <v>0</v>
      </c>
      <c r="U35" s="9">
        <f>VLOOKUP(A35,[1]!Table1[[Investor]:[Total Amount]],20,FALSE)</f>
        <v>0</v>
      </c>
      <c r="V35" s="9" t="b">
        <f t="shared" si="7"/>
        <v>1</v>
      </c>
      <c r="W35" s="143"/>
    </row>
    <row r="36" spans="1:23">
      <c r="A36" s="122" t="s">
        <v>642</v>
      </c>
      <c r="B36" s="29" t="s">
        <v>31</v>
      </c>
      <c r="C36" s="29" t="s">
        <v>529</v>
      </c>
      <c r="D36" s="9">
        <f>SUMIF(Main_Data_Sales!$B$2:$B$261,'Investor Master Data'!$C36,Main_Data_Sales!$T$2:$T$261)</f>
        <v>0</v>
      </c>
      <c r="E36" s="9">
        <f>SUMIF(Main_Data_Service!$B$2:$B$111,'Investor Master Data'!$C36,Main_Data_Service!$T$2:$T$111)</f>
        <v>0</v>
      </c>
      <c r="F36" s="64">
        <f t="shared" si="0"/>
        <v>0</v>
      </c>
      <c r="G36" s="52">
        <v>0.75609756097560976</v>
      </c>
      <c r="H36" s="52">
        <v>0.87253902970297015</v>
      </c>
      <c r="I36" s="24">
        <f t="shared" si="1"/>
        <v>0</v>
      </c>
      <c r="J36" s="24">
        <f t="shared" si="2"/>
        <v>0</v>
      </c>
      <c r="K36" s="24">
        <f t="shared" si="3"/>
        <v>0</v>
      </c>
      <c r="L36" s="24">
        <f t="shared" si="4"/>
        <v>0</v>
      </c>
      <c r="M36" s="24">
        <f t="shared" si="5"/>
        <v>0</v>
      </c>
      <c r="N36" s="3" t="s">
        <v>608</v>
      </c>
      <c r="O36" s="117">
        <v>31</v>
      </c>
      <c r="P36" s="117">
        <v>84</v>
      </c>
      <c r="Q36" s="117" t="s">
        <v>1043</v>
      </c>
      <c r="R36" s="142">
        <v>0</v>
      </c>
      <c r="S36" s="127">
        <v>1.0344827586206897</v>
      </c>
      <c r="T36" s="9">
        <f t="shared" si="6"/>
        <v>0</v>
      </c>
      <c r="U36" s="9">
        <f>VLOOKUP(A36,[1]!Table1[[Investor]:[Total Amount]],20,FALSE)</f>
        <v>0</v>
      </c>
      <c r="V36" s="9" t="b">
        <f t="shared" si="7"/>
        <v>1</v>
      </c>
      <c r="W36" s="143"/>
    </row>
    <row r="37" spans="1:23">
      <c r="A37" s="122" t="s">
        <v>643</v>
      </c>
      <c r="B37" s="29" t="s">
        <v>60</v>
      </c>
      <c r="C37" s="29" t="s">
        <v>530</v>
      </c>
      <c r="D37" s="9">
        <f>SUMIF(Main_Data_Sales!$B$2:$B$261,'Investor Master Data'!$C37,Main_Data_Sales!$T$2:$T$261)</f>
        <v>381</v>
      </c>
      <c r="E37" s="9">
        <f>SUMIF(Main_Data_Service!$B$2:$B$111,'Investor Master Data'!$C37,Main_Data_Service!$T$2:$T$111)</f>
        <v>417</v>
      </c>
      <c r="F37" s="64">
        <f t="shared" si="0"/>
        <v>798</v>
      </c>
      <c r="G37" s="52">
        <v>1.4554455445544554</v>
      </c>
      <c r="H37" s="52">
        <v>1.0094709439555354</v>
      </c>
      <c r="I37" s="24">
        <f t="shared" si="1"/>
        <v>900000</v>
      </c>
      <c r="J37" s="24">
        <f t="shared" si="2"/>
        <v>703836</v>
      </c>
      <c r="K37" s="24">
        <f t="shared" si="3"/>
        <v>99000</v>
      </c>
      <c r="L37" s="24">
        <f t="shared" si="4"/>
        <v>1702836</v>
      </c>
      <c r="M37" s="24">
        <f t="shared" si="5"/>
        <v>7502.2857142857147</v>
      </c>
      <c r="N37" s="3" t="s">
        <v>610</v>
      </c>
      <c r="O37" s="117">
        <v>147</v>
      </c>
      <c r="P37" s="117">
        <v>329</v>
      </c>
      <c r="Q37" s="117" t="s">
        <v>1043</v>
      </c>
      <c r="R37" s="142">
        <v>1980000</v>
      </c>
      <c r="S37" s="127">
        <v>1.1065573770491803</v>
      </c>
      <c r="T37" s="9">
        <f t="shared" si="6"/>
        <v>1702836</v>
      </c>
      <c r="U37" s="9">
        <f>VLOOKUP(A37,[1]!Table1[[Investor]:[Total Amount]],20,FALSE)</f>
        <v>1702836</v>
      </c>
      <c r="V37" s="9" t="b">
        <f t="shared" si="7"/>
        <v>1</v>
      </c>
      <c r="W37" s="143"/>
    </row>
    <row r="38" spans="1:23">
      <c r="A38" s="122" t="s">
        <v>644</v>
      </c>
      <c r="B38" s="29" t="s">
        <v>61</v>
      </c>
      <c r="C38" s="29" t="s">
        <v>531</v>
      </c>
      <c r="D38" s="9">
        <f>SUMIF(Main_Data_Sales!$B$2:$B$261,'Investor Master Data'!$C38,Main_Data_Sales!$T$2:$T$261)</f>
        <v>365</v>
      </c>
      <c r="E38" s="9">
        <f>SUMIF(Main_Data_Service!$B$2:$B$111,'Investor Master Data'!$C38,Main_Data_Service!$T$2:$T$111)</f>
        <v>235</v>
      </c>
      <c r="F38" s="64">
        <f t="shared" si="0"/>
        <v>600</v>
      </c>
      <c r="G38" s="52">
        <v>1.1604938271604939</v>
      </c>
      <c r="H38" s="52">
        <v>1.1426878872549024</v>
      </c>
      <c r="I38" s="24">
        <f t="shared" si="1"/>
        <v>0</v>
      </c>
      <c r="J38" s="24">
        <f t="shared" si="2"/>
        <v>0</v>
      </c>
      <c r="K38" s="24">
        <f t="shared" si="3"/>
        <v>0</v>
      </c>
      <c r="L38" s="24">
        <f t="shared" si="4"/>
        <v>0</v>
      </c>
      <c r="M38" s="24">
        <f t="shared" si="5"/>
        <v>0</v>
      </c>
      <c r="N38" s="3" t="s">
        <v>610</v>
      </c>
      <c r="O38" s="117">
        <v>94</v>
      </c>
      <c r="P38" s="117">
        <v>217</v>
      </c>
      <c r="Q38" s="117" t="s">
        <v>1043</v>
      </c>
      <c r="R38" s="142">
        <v>1180000</v>
      </c>
      <c r="S38" s="127">
        <v>1.1538461538461537</v>
      </c>
      <c r="T38" s="9">
        <f t="shared" si="6"/>
        <v>0</v>
      </c>
      <c r="U38" s="9">
        <f>VLOOKUP(A38,[1]!Table1[[Investor]:[Total Amount]],20,FALSE)</f>
        <v>0</v>
      </c>
      <c r="V38" s="9" t="b">
        <f t="shared" si="7"/>
        <v>1</v>
      </c>
      <c r="W38" s="143"/>
    </row>
    <row r="39" spans="1:23">
      <c r="A39" s="122" t="s">
        <v>645</v>
      </c>
      <c r="B39" s="29" t="s">
        <v>32</v>
      </c>
      <c r="C39" s="29" t="s">
        <v>532</v>
      </c>
      <c r="D39" s="9">
        <f>SUMIF(Main_Data_Sales!$B$2:$B$261,'Investor Master Data'!$C39,Main_Data_Sales!$T$2:$T$261)</f>
        <v>0</v>
      </c>
      <c r="E39" s="9">
        <f>SUMIF(Main_Data_Service!$B$2:$B$111,'Investor Master Data'!$C39,Main_Data_Service!$T$2:$T$111)</f>
        <v>0</v>
      </c>
      <c r="F39" s="64">
        <f t="shared" si="0"/>
        <v>0</v>
      </c>
      <c r="G39" s="52">
        <v>0</v>
      </c>
      <c r="H39" s="52">
        <v>0</v>
      </c>
      <c r="I39" s="24">
        <f t="shared" si="1"/>
        <v>0</v>
      </c>
      <c r="J39" s="24">
        <f t="shared" si="2"/>
        <v>0</v>
      </c>
      <c r="K39" s="24">
        <f t="shared" si="3"/>
        <v>0</v>
      </c>
      <c r="L39" s="24">
        <f t="shared" si="4"/>
        <v>0</v>
      </c>
      <c r="M39" s="24">
        <f t="shared" si="5"/>
        <v>0</v>
      </c>
      <c r="N39" s="3">
        <v>0</v>
      </c>
      <c r="O39" s="117">
        <v>0</v>
      </c>
      <c r="P39" s="117">
        <v>0</v>
      </c>
      <c r="Q39" s="117" t="s">
        <v>1043</v>
      </c>
      <c r="R39" s="142">
        <v>0</v>
      </c>
      <c r="S39" s="127">
        <v>0</v>
      </c>
      <c r="T39" s="9">
        <f t="shared" si="6"/>
        <v>0</v>
      </c>
      <c r="U39" s="9">
        <v>0</v>
      </c>
      <c r="V39" s="9" t="b">
        <f t="shared" si="7"/>
        <v>1</v>
      </c>
      <c r="W39" s="143"/>
    </row>
    <row r="40" spans="1:23">
      <c r="A40" s="122" t="s">
        <v>646</v>
      </c>
      <c r="B40" s="29" t="s">
        <v>33</v>
      </c>
      <c r="C40" s="29" t="s">
        <v>533</v>
      </c>
      <c r="D40" s="9">
        <f>SUMIF(Main_Data_Sales!$B$2:$B$261,'Investor Master Data'!$C40,Main_Data_Sales!$T$2:$T$261)</f>
        <v>460</v>
      </c>
      <c r="E40" s="9">
        <f>SUMIF(Main_Data_Service!$B$2:$B$111,'Investor Master Data'!$C40,Main_Data_Service!$T$2:$T$111)</f>
        <v>500</v>
      </c>
      <c r="F40" s="64">
        <f t="shared" si="0"/>
        <v>960</v>
      </c>
      <c r="G40" s="52">
        <v>1.2307692307692308</v>
      </c>
      <c r="H40" s="52">
        <v>0.92377664900662093</v>
      </c>
      <c r="I40" s="24">
        <f t="shared" si="1"/>
        <v>450000</v>
      </c>
      <c r="J40" s="24">
        <f t="shared" si="2"/>
        <v>322560</v>
      </c>
      <c r="K40" s="24">
        <f t="shared" si="3"/>
        <v>39000</v>
      </c>
      <c r="L40" s="24">
        <f t="shared" si="4"/>
        <v>811560</v>
      </c>
      <c r="M40" s="24">
        <f t="shared" si="5"/>
        <v>10657.5</v>
      </c>
      <c r="N40" s="3" t="s">
        <v>608</v>
      </c>
      <c r="O40" s="117">
        <v>48</v>
      </c>
      <c r="P40" s="117">
        <v>110</v>
      </c>
      <c r="Q40" s="117" t="s">
        <v>1043</v>
      </c>
      <c r="R40" s="142">
        <v>390000</v>
      </c>
      <c r="S40" s="127">
        <v>1</v>
      </c>
      <c r="T40" s="9">
        <f t="shared" si="6"/>
        <v>811560</v>
      </c>
      <c r="U40" s="9">
        <f>VLOOKUP(A40,[1]!Table1[[Investor]:[Total Amount]],20,FALSE)</f>
        <v>811560</v>
      </c>
      <c r="V40" s="9" t="b">
        <f t="shared" si="7"/>
        <v>1</v>
      </c>
      <c r="W40" s="143"/>
    </row>
    <row r="41" spans="1:23">
      <c r="A41" s="122" t="s">
        <v>647</v>
      </c>
      <c r="B41" s="29" t="s">
        <v>34</v>
      </c>
      <c r="C41" s="29" t="s">
        <v>534</v>
      </c>
      <c r="D41" s="9">
        <f>SUMIF(Main_Data_Sales!$B$2:$B$261,'Investor Master Data'!$C41,Main_Data_Sales!$T$2:$T$261)</f>
        <v>260</v>
      </c>
      <c r="E41" s="9">
        <f>SUMIF(Main_Data_Service!$B$2:$B$111,'Investor Master Data'!$C41,Main_Data_Service!$T$2:$T$111)</f>
        <v>275</v>
      </c>
      <c r="F41" s="64">
        <f t="shared" si="0"/>
        <v>535</v>
      </c>
      <c r="G41" s="52">
        <v>1.1584158415841583</v>
      </c>
      <c r="H41" s="52">
        <v>1.0981531626213601</v>
      </c>
      <c r="I41" s="24">
        <f t="shared" si="1"/>
        <v>0</v>
      </c>
      <c r="J41" s="24">
        <f t="shared" si="2"/>
        <v>0</v>
      </c>
      <c r="K41" s="24">
        <f t="shared" si="3"/>
        <v>0</v>
      </c>
      <c r="L41" s="24">
        <f t="shared" si="4"/>
        <v>0</v>
      </c>
      <c r="M41" s="24">
        <f t="shared" si="5"/>
        <v>0</v>
      </c>
      <c r="N41" s="3" t="s">
        <v>609</v>
      </c>
      <c r="O41" s="117">
        <v>117</v>
      </c>
      <c r="P41" s="117">
        <v>303</v>
      </c>
      <c r="Q41" s="117" t="s">
        <v>1043</v>
      </c>
      <c r="R41" s="142">
        <v>1080000</v>
      </c>
      <c r="S41" s="127">
        <v>1.1632653061224489</v>
      </c>
      <c r="T41" s="9">
        <f t="shared" si="6"/>
        <v>0</v>
      </c>
      <c r="U41" s="9">
        <f>VLOOKUP(A41,[1]!Table1[[Investor]:[Total Amount]],20,FALSE)</f>
        <v>0</v>
      </c>
      <c r="V41" s="9" t="b">
        <f t="shared" si="7"/>
        <v>1</v>
      </c>
      <c r="W41" s="143"/>
    </row>
    <row r="42" spans="1:23">
      <c r="A42" s="122" t="s">
        <v>648</v>
      </c>
      <c r="B42" s="29" t="s">
        <v>62</v>
      </c>
      <c r="C42" s="29" t="s">
        <v>535</v>
      </c>
      <c r="D42" s="9">
        <f>SUMIF(Main_Data_Sales!$B$2:$B$261,'Investor Master Data'!$C42,Main_Data_Sales!$T$2:$T$261)</f>
        <v>459</v>
      </c>
      <c r="E42" s="9">
        <f>SUMIF(Main_Data_Service!$B$2:$B$111,'Investor Master Data'!$C42,Main_Data_Service!$T$2:$T$111)</f>
        <v>230</v>
      </c>
      <c r="F42" s="64">
        <f t="shared" si="0"/>
        <v>689</v>
      </c>
      <c r="G42" s="52">
        <v>2.0384615384615383</v>
      </c>
      <c r="H42" s="52">
        <v>1.054599298013245</v>
      </c>
      <c r="I42" s="24">
        <f t="shared" si="1"/>
        <v>900000</v>
      </c>
      <c r="J42" s="24">
        <f t="shared" si="2"/>
        <v>219101.99999999997</v>
      </c>
      <c r="K42" s="24">
        <f t="shared" si="3"/>
        <v>0</v>
      </c>
      <c r="L42" s="24">
        <f t="shared" si="4"/>
        <v>1119102</v>
      </c>
      <c r="M42" s="24">
        <f t="shared" si="5"/>
        <v>9794.3773584905666</v>
      </c>
      <c r="N42" s="3" t="s">
        <v>610</v>
      </c>
      <c r="O42" s="117">
        <v>53</v>
      </c>
      <c r="P42" s="117">
        <v>96</v>
      </c>
      <c r="Q42" s="117" t="s">
        <v>1043</v>
      </c>
      <c r="R42" s="142">
        <v>800000</v>
      </c>
      <c r="S42" s="127">
        <v>1.2</v>
      </c>
      <c r="T42" s="9">
        <f t="shared" si="6"/>
        <v>1119102</v>
      </c>
      <c r="U42" s="9">
        <f>VLOOKUP(A42,[1]!Table1[[Investor]:[Total Amount]],20,FALSE)</f>
        <v>1119102</v>
      </c>
      <c r="V42" s="9" t="b">
        <f t="shared" si="7"/>
        <v>1</v>
      </c>
      <c r="W42" s="143"/>
    </row>
    <row r="43" spans="1:23">
      <c r="A43" s="122" t="s">
        <v>649</v>
      </c>
      <c r="B43" s="29" t="s">
        <v>63</v>
      </c>
      <c r="C43" s="29" t="s">
        <v>536</v>
      </c>
      <c r="D43" s="9">
        <f>SUMIF(Main_Data_Sales!$B$2:$B$261,'Investor Master Data'!$C43,Main_Data_Sales!$T$2:$T$261)</f>
        <v>280</v>
      </c>
      <c r="E43" s="9">
        <f>SUMIF(Main_Data_Service!$B$2:$B$111,'Investor Master Data'!$C43,Main_Data_Service!$T$2:$T$111)</f>
        <v>45</v>
      </c>
      <c r="F43" s="64">
        <f t="shared" si="0"/>
        <v>325</v>
      </c>
      <c r="G43" s="52">
        <v>1.1611374407582939</v>
      </c>
      <c r="H43" s="52">
        <v>0.97602602922077963</v>
      </c>
      <c r="I43" s="24">
        <f t="shared" si="1"/>
        <v>0</v>
      </c>
      <c r="J43" s="24">
        <f t="shared" si="2"/>
        <v>0</v>
      </c>
      <c r="K43" s="24">
        <f t="shared" si="3"/>
        <v>0</v>
      </c>
      <c r="L43" s="24">
        <f t="shared" si="4"/>
        <v>0</v>
      </c>
      <c r="M43" s="24">
        <f t="shared" si="5"/>
        <v>0</v>
      </c>
      <c r="N43" s="3" t="s">
        <v>610</v>
      </c>
      <c r="O43" s="117">
        <v>245</v>
      </c>
      <c r="P43" s="117">
        <v>598</v>
      </c>
      <c r="Q43" s="117" t="s">
        <v>1043</v>
      </c>
      <c r="R43" s="142">
        <v>3240000</v>
      </c>
      <c r="S43" s="127">
        <v>1.1069767441860465</v>
      </c>
      <c r="T43" s="9">
        <f t="shared" si="6"/>
        <v>0</v>
      </c>
      <c r="U43" s="9">
        <f>VLOOKUP(A43,[1]!Table1[[Investor]:[Total Amount]],20,FALSE)</f>
        <v>0</v>
      </c>
      <c r="V43" s="9" t="b">
        <f t="shared" si="7"/>
        <v>1</v>
      </c>
      <c r="W43" s="143"/>
    </row>
    <row r="44" spans="1:23">
      <c r="A44" s="122" t="s">
        <v>650</v>
      </c>
      <c r="B44" s="29" t="s">
        <v>64</v>
      </c>
      <c r="C44" s="29" t="s">
        <v>537</v>
      </c>
      <c r="D44" s="9">
        <f>SUMIF(Main_Data_Sales!$B$2:$B$261,'Investor Master Data'!$C44,Main_Data_Sales!$T$2:$T$261)</f>
        <v>0</v>
      </c>
      <c r="E44" s="9">
        <f>SUMIF(Main_Data_Service!$B$2:$B$111,'Investor Master Data'!$C44,Main_Data_Service!$T$2:$T$111)</f>
        <v>0</v>
      </c>
      <c r="F44" s="64">
        <f t="shared" si="0"/>
        <v>0</v>
      </c>
      <c r="G44" s="52">
        <v>1.2058823529411764</v>
      </c>
      <c r="H44" s="52">
        <v>0.71795466769230731</v>
      </c>
      <c r="I44" s="24">
        <f t="shared" si="1"/>
        <v>0</v>
      </c>
      <c r="J44" s="24">
        <f t="shared" si="2"/>
        <v>0</v>
      </c>
      <c r="K44" s="24">
        <f t="shared" si="3"/>
        <v>0</v>
      </c>
      <c r="L44" s="24">
        <f t="shared" si="4"/>
        <v>0</v>
      </c>
      <c r="M44" s="24">
        <f t="shared" si="5"/>
        <v>0</v>
      </c>
      <c r="N44" s="3" t="s">
        <v>610</v>
      </c>
      <c r="O44" s="117">
        <v>82</v>
      </c>
      <c r="P44" s="117">
        <v>202</v>
      </c>
      <c r="Q44" s="117" t="s">
        <v>1043</v>
      </c>
      <c r="R44" s="142">
        <v>1260000</v>
      </c>
      <c r="S44" s="127">
        <v>1.1029411764705883</v>
      </c>
      <c r="T44" s="9">
        <f t="shared" si="6"/>
        <v>0</v>
      </c>
      <c r="U44" s="9">
        <f>VLOOKUP(A44,[1]!Table1[[Investor]:[Total Amount]],20,FALSE)</f>
        <v>0</v>
      </c>
      <c r="V44" s="9" t="b">
        <f t="shared" si="7"/>
        <v>1</v>
      </c>
      <c r="W44" s="143"/>
    </row>
    <row r="45" spans="1:23">
      <c r="A45" s="122" t="s">
        <v>651</v>
      </c>
      <c r="B45" s="29" t="s">
        <v>65</v>
      </c>
      <c r="C45" s="29" t="s">
        <v>538</v>
      </c>
      <c r="D45" s="9">
        <f>SUMIF(Main_Data_Sales!$B$2:$B$261,'Investor Master Data'!$C45,Main_Data_Sales!$T$2:$T$261)</f>
        <v>303</v>
      </c>
      <c r="E45" s="9">
        <f>SUMIF(Main_Data_Service!$B$2:$B$111,'Investor Master Data'!$C45,Main_Data_Service!$T$2:$T$111)</f>
        <v>0</v>
      </c>
      <c r="F45" s="64">
        <f t="shared" si="0"/>
        <v>303</v>
      </c>
      <c r="G45" s="52">
        <v>1.1888111888111887</v>
      </c>
      <c r="H45" s="52">
        <v>1.3240997902713334</v>
      </c>
      <c r="I45" s="24">
        <f t="shared" si="1"/>
        <v>0</v>
      </c>
      <c r="J45" s="24">
        <f t="shared" si="2"/>
        <v>0</v>
      </c>
      <c r="K45" s="24">
        <f t="shared" si="3"/>
        <v>0</v>
      </c>
      <c r="L45" s="24">
        <f t="shared" si="4"/>
        <v>0</v>
      </c>
      <c r="M45" s="24">
        <f t="shared" si="5"/>
        <v>0</v>
      </c>
      <c r="N45" s="3" t="s">
        <v>610</v>
      </c>
      <c r="O45" s="117">
        <v>170</v>
      </c>
      <c r="P45" s="117">
        <v>414</v>
      </c>
      <c r="Q45" s="117" t="s">
        <v>1043</v>
      </c>
      <c r="R45" s="142">
        <v>1920000</v>
      </c>
      <c r="S45" s="127">
        <v>1.1111111111111112</v>
      </c>
      <c r="T45" s="9">
        <f t="shared" si="6"/>
        <v>0</v>
      </c>
      <c r="U45" s="9">
        <f>VLOOKUP(A45,[1]!Table1[[Investor]:[Total Amount]],20,FALSE)</f>
        <v>0</v>
      </c>
      <c r="V45" s="9" t="b">
        <f t="shared" si="7"/>
        <v>1</v>
      </c>
      <c r="W45" s="143"/>
    </row>
    <row r="46" spans="1:23">
      <c r="A46" s="122" t="s">
        <v>652</v>
      </c>
      <c r="B46" s="29" t="s">
        <v>35</v>
      </c>
      <c r="C46" s="29" t="s">
        <v>539</v>
      </c>
      <c r="D46" s="9">
        <f>SUMIF(Main_Data_Sales!$B$2:$B$261,'Investor Master Data'!$C46,Main_Data_Sales!$T$2:$T$261)</f>
        <v>310</v>
      </c>
      <c r="E46" s="9">
        <f>SUMIF(Main_Data_Service!$B$2:$B$111,'Investor Master Data'!$C46,Main_Data_Service!$T$2:$T$111)</f>
        <v>210</v>
      </c>
      <c r="F46" s="64">
        <f t="shared" si="0"/>
        <v>520</v>
      </c>
      <c r="G46" s="52">
        <v>0.97435897435897434</v>
      </c>
      <c r="H46" s="52">
        <v>1.5884073440366977</v>
      </c>
      <c r="I46" s="24">
        <f t="shared" si="1"/>
        <v>0</v>
      </c>
      <c r="J46" s="24">
        <f t="shared" si="2"/>
        <v>0</v>
      </c>
      <c r="K46" s="24">
        <f t="shared" si="3"/>
        <v>0</v>
      </c>
      <c r="L46" s="24">
        <f t="shared" si="4"/>
        <v>0</v>
      </c>
      <c r="M46" s="24">
        <f t="shared" si="5"/>
        <v>0</v>
      </c>
      <c r="N46" s="3" t="s">
        <v>608</v>
      </c>
      <c r="O46" s="117">
        <v>38</v>
      </c>
      <c r="P46" s="117">
        <v>109</v>
      </c>
      <c r="Q46" s="117" t="s">
        <v>1043</v>
      </c>
      <c r="R46" s="142">
        <v>192000</v>
      </c>
      <c r="S46" s="127">
        <v>1.027027027027027</v>
      </c>
      <c r="T46" s="9">
        <f t="shared" si="6"/>
        <v>0</v>
      </c>
      <c r="U46" s="9">
        <f>VLOOKUP(A46,[1]!Table1[[Investor]:[Total Amount]],20,FALSE)</f>
        <v>0</v>
      </c>
      <c r="V46" s="9" t="b">
        <f t="shared" si="7"/>
        <v>1</v>
      </c>
      <c r="W46" s="143"/>
    </row>
    <row r="47" spans="1:23">
      <c r="A47" s="122" t="s">
        <v>653</v>
      </c>
      <c r="B47" s="29" t="s">
        <v>36</v>
      </c>
      <c r="C47" s="29" t="s">
        <v>540</v>
      </c>
      <c r="D47" s="9">
        <f>SUMIF(Main_Data_Sales!$B$2:$B$261,'Investor Master Data'!$C47,Main_Data_Sales!$T$2:$T$261)</f>
        <v>0</v>
      </c>
      <c r="E47" s="9">
        <f>SUMIF(Main_Data_Service!$B$2:$B$111,'Investor Master Data'!$C47,Main_Data_Service!$T$2:$T$111)</f>
        <v>0</v>
      </c>
      <c r="F47" s="64">
        <f t="shared" si="0"/>
        <v>0</v>
      </c>
      <c r="G47" s="52">
        <v>1.3043478260869565</v>
      </c>
      <c r="H47" s="52">
        <v>0.7368295107494558</v>
      </c>
      <c r="I47" s="24">
        <f t="shared" si="1"/>
        <v>0</v>
      </c>
      <c r="J47" s="24">
        <f t="shared" si="2"/>
        <v>0</v>
      </c>
      <c r="K47" s="24">
        <f t="shared" si="3"/>
        <v>0</v>
      </c>
      <c r="L47" s="24">
        <f t="shared" si="4"/>
        <v>0</v>
      </c>
      <c r="M47" s="24">
        <f t="shared" si="5"/>
        <v>0</v>
      </c>
      <c r="N47" s="3" t="s">
        <v>609</v>
      </c>
      <c r="O47" s="117">
        <v>90</v>
      </c>
      <c r="P47" s="117">
        <v>214</v>
      </c>
      <c r="Q47" s="117" t="s">
        <v>1043</v>
      </c>
      <c r="R47" s="142">
        <v>1200000</v>
      </c>
      <c r="S47" s="127">
        <v>1.1126760563380282</v>
      </c>
      <c r="T47" s="9">
        <f t="shared" si="6"/>
        <v>0</v>
      </c>
      <c r="U47" s="9">
        <f>VLOOKUP(A47,[1]!Table1[[Investor]:[Total Amount]],20,FALSE)</f>
        <v>0</v>
      </c>
      <c r="V47" s="9" t="b">
        <f t="shared" si="7"/>
        <v>1</v>
      </c>
      <c r="W47" s="143"/>
    </row>
    <row r="48" spans="1:23">
      <c r="A48" s="122" t="s">
        <v>654</v>
      </c>
      <c r="B48" s="29" t="s">
        <v>37</v>
      </c>
      <c r="C48" s="29" t="s">
        <v>541</v>
      </c>
      <c r="D48" s="9">
        <f>SUMIF(Main_Data_Sales!$B$2:$B$261,'Investor Master Data'!$C48,Main_Data_Sales!$T$2:$T$261)</f>
        <v>0</v>
      </c>
      <c r="E48" s="9">
        <f>SUMIF(Main_Data_Service!$B$2:$B$111,'Investor Master Data'!$C48,Main_Data_Service!$T$2:$T$111)</f>
        <v>0</v>
      </c>
      <c r="F48" s="64">
        <f t="shared" si="0"/>
        <v>0</v>
      </c>
      <c r="G48" s="52">
        <v>1.3620689655172413</v>
      </c>
      <c r="H48" s="52">
        <v>0.98309432222222348</v>
      </c>
      <c r="I48" s="24">
        <f t="shared" si="1"/>
        <v>0</v>
      </c>
      <c r="J48" s="24">
        <f t="shared" si="2"/>
        <v>0</v>
      </c>
      <c r="K48" s="24">
        <f t="shared" si="3"/>
        <v>0</v>
      </c>
      <c r="L48" s="24">
        <f t="shared" si="4"/>
        <v>0</v>
      </c>
      <c r="M48" s="24">
        <f t="shared" si="5"/>
        <v>0</v>
      </c>
      <c r="N48" s="3" t="s">
        <v>609</v>
      </c>
      <c r="O48" s="117">
        <v>158</v>
      </c>
      <c r="P48" s="117">
        <v>321</v>
      </c>
      <c r="Q48" s="117" t="s">
        <v>1043</v>
      </c>
      <c r="R48" s="142">
        <v>2380000</v>
      </c>
      <c r="S48" s="127">
        <v>1.1440677966101696</v>
      </c>
      <c r="T48" s="9">
        <f t="shared" si="6"/>
        <v>0</v>
      </c>
      <c r="U48" s="9">
        <f>VLOOKUP(A48,[1]!Table1[[Investor]:[Total Amount]],20,FALSE)</f>
        <v>0</v>
      </c>
      <c r="V48" s="9" t="b">
        <f t="shared" si="7"/>
        <v>1</v>
      </c>
      <c r="W48" s="143"/>
    </row>
    <row r="49" spans="1:23">
      <c r="A49" s="122" t="s">
        <v>655</v>
      </c>
      <c r="B49" s="29" t="s">
        <v>38</v>
      </c>
      <c r="C49" s="29" t="s">
        <v>542</v>
      </c>
      <c r="D49" s="9">
        <f>SUMIF(Main_Data_Sales!$B$2:$B$261,'Investor Master Data'!$C49,Main_Data_Sales!$T$2:$T$261)</f>
        <v>74</v>
      </c>
      <c r="E49" s="9">
        <f>SUMIF(Main_Data_Service!$B$2:$B$111,'Investor Master Data'!$C49,Main_Data_Service!$T$2:$T$111)</f>
        <v>0</v>
      </c>
      <c r="F49" s="64">
        <f t="shared" si="0"/>
        <v>74</v>
      </c>
      <c r="G49" s="52">
        <v>1.1764705882352942</v>
      </c>
      <c r="H49" s="52">
        <v>0.7981822573529409</v>
      </c>
      <c r="I49" s="24">
        <f t="shared" si="1"/>
        <v>0</v>
      </c>
      <c r="J49" s="24">
        <f t="shared" si="2"/>
        <v>0</v>
      </c>
      <c r="K49" s="24">
        <f t="shared" si="3"/>
        <v>0</v>
      </c>
      <c r="L49" s="24">
        <f t="shared" si="4"/>
        <v>0</v>
      </c>
      <c r="M49" s="24">
        <f t="shared" si="5"/>
        <v>0</v>
      </c>
      <c r="N49" s="3" t="s">
        <v>608</v>
      </c>
      <c r="O49" s="117">
        <v>60</v>
      </c>
      <c r="P49" s="117">
        <v>131</v>
      </c>
      <c r="Q49" s="117" t="s">
        <v>1043</v>
      </c>
      <c r="R49" s="142">
        <v>720000</v>
      </c>
      <c r="S49" s="127">
        <v>1.1956521739130435</v>
      </c>
      <c r="T49" s="9">
        <f t="shared" si="6"/>
        <v>0</v>
      </c>
      <c r="U49" s="9">
        <f>VLOOKUP(A49,[1]!Table1[[Investor]:[Total Amount]],20,FALSE)</f>
        <v>0</v>
      </c>
      <c r="V49" s="9" t="b">
        <f t="shared" si="7"/>
        <v>1</v>
      </c>
      <c r="W49" s="143"/>
    </row>
    <row r="50" spans="1:23">
      <c r="A50" s="122" t="s">
        <v>754</v>
      </c>
      <c r="B50" s="29" t="s">
        <v>742</v>
      </c>
      <c r="C50" s="29" t="s">
        <v>752</v>
      </c>
      <c r="D50" s="9">
        <f>SUMIF(Main_Data_Sales!$B$2:$B$261,'Investor Master Data'!$C50,Main_Data_Sales!$T$2:$T$261)</f>
        <v>0</v>
      </c>
      <c r="E50" s="9">
        <f>SUMIF(Main_Data_Service!$B$2:$B$111,'Investor Master Data'!$C50,Main_Data_Service!$T$2:$T$111)</f>
        <v>0</v>
      </c>
      <c r="F50" s="64">
        <f t="shared" si="0"/>
        <v>0</v>
      </c>
      <c r="G50" s="52">
        <v>3.6111111111111112</v>
      </c>
      <c r="H50" s="52">
        <v>0.8940653767926986</v>
      </c>
      <c r="I50" s="24">
        <f t="shared" si="1"/>
        <v>0</v>
      </c>
      <c r="J50" s="24">
        <f t="shared" si="2"/>
        <v>0</v>
      </c>
      <c r="K50" s="24">
        <f t="shared" si="3"/>
        <v>0</v>
      </c>
      <c r="L50" s="24">
        <f t="shared" ref="L50" si="8">SUM(I50:K50)</f>
        <v>0</v>
      </c>
      <c r="M50" s="24">
        <f t="shared" si="5"/>
        <v>0</v>
      </c>
      <c r="N50" s="3" t="s">
        <v>608</v>
      </c>
      <c r="O50" s="117">
        <v>65</v>
      </c>
      <c r="P50" s="117">
        <v>94</v>
      </c>
      <c r="Q50" s="117" t="s">
        <v>1039</v>
      </c>
      <c r="R50" s="142">
        <v>1040000</v>
      </c>
      <c r="S50" s="127">
        <v>1.71875</v>
      </c>
      <c r="T50" s="9">
        <f t="shared" si="6"/>
        <v>0</v>
      </c>
      <c r="U50" s="9">
        <f>VLOOKUP(A50,[1]!Table1[[Investor]:[Total Amount]],20,FALSE)</f>
        <v>0</v>
      </c>
      <c r="V50" s="9" t="b">
        <f t="shared" si="7"/>
        <v>1</v>
      </c>
      <c r="W50" s="143"/>
    </row>
    <row r="51" spans="1:23">
      <c r="A51" s="122" t="s">
        <v>656</v>
      </c>
      <c r="B51" s="29" t="s">
        <v>39</v>
      </c>
      <c r="C51" s="29" t="s">
        <v>543</v>
      </c>
      <c r="D51" s="9">
        <f>SUMIF(Main_Data_Sales!$B$2:$B$261,'Investor Master Data'!$C51,Main_Data_Sales!$T$2:$T$261)</f>
        <v>25</v>
      </c>
      <c r="E51" s="9">
        <f>SUMIF(Main_Data_Service!$B$2:$B$111,'Investor Master Data'!$C51,Main_Data_Service!$T$2:$T$111)</f>
        <v>0</v>
      </c>
      <c r="F51" s="64">
        <f t="shared" si="0"/>
        <v>25</v>
      </c>
      <c r="G51" s="52">
        <v>1.2068965517241379</v>
      </c>
      <c r="H51" s="52">
        <v>0.83722249875000143</v>
      </c>
      <c r="I51" s="24">
        <f t="shared" si="1"/>
        <v>0</v>
      </c>
      <c r="J51" s="24">
        <f t="shared" si="2"/>
        <v>0</v>
      </c>
      <c r="K51" s="24">
        <f t="shared" si="3"/>
        <v>0</v>
      </c>
      <c r="L51" s="24">
        <f t="shared" si="4"/>
        <v>0</v>
      </c>
      <c r="M51" s="24">
        <f t="shared" si="5"/>
        <v>0</v>
      </c>
      <c r="N51" s="3" t="s">
        <v>608</v>
      </c>
      <c r="O51" s="117">
        <v>70</v>
      </c>
      <c r="P51" s="117">
        <v>189</v>
      </c>
      <c r="Q51" s="117" t="s">
        <v>1043</v>
      </c>
      <c r="R51" s="142">
        <v>900000</v>
      </c>
      <c r="S51" s="127">
        <v>1.1587301587301588</v>
      </c>
      <c r="T51" s="9">
        <f t="shared" si="6"/>
        <v>0</v>
      </c>
      <c r="U51" s="9">
        <f>VLOOKUP(A51,[1]!Table1[[Investor]:[Total Amount]],20,FALSE)</f>
        <v>0</v>
      </c>
      <c r="V51" s="9" t="b">
        <f t="shared" si="7"/>
        <v>1</v>
      </c>
      <c r="W51" s="143"/>
    </row>
    <row r="52" spans="1:23">
      <c r="A52" s="122" t="s">
        <v>657</v>
      </c>
      <c r="B52" s="29" t="s">
        <v>40</v>
      </c>
      <c r="C52" s="29" t="s">
        <v>544</v>
      </c>
      <c r="D52" s="9">
        <f>SUMIF(Main_Data_Sales!$B$2:$B$261,'Investor Master Data'!$C52,Main_Data_Sales!$T$2:$T$261)</f>
        <v>371</v>
      </c>
      <c r="E52" s="9">
        <f>SUMIF(Main_Data_Service!$B$2:$B$111,'Investor Master Data'!$C52,Main_Data_Service!$T$2:$T$111)</f>
        <v>425</v>
      </c>
      <c r="F52" s="64">
        <f t="shared" si="0"/>
        <v>796</v>
      </c>
      <c r="G52" s="52">
        <v>0.93121693121693117</v>
      </c>
      <c r="H52" s="52">
        <v>1.0997465797922572</v>
      </c>
      <c r="I52" s="24">
        <f t="shared" si="1"/>
        <v>900000</v>
      </c>
      <c r="J52" s="24">
        <f t="shared" si="2"/>
        <v>840576</v>
      </c>
      <c r="K52" s="24">
        <f t="shared" si="3"/>
        <v>0</v>
      </c>
      <c r="L52" s="24">
        <f t="shared" si="4"/>
        <v>1740576</v>
      </c>
      <c r="M52" s="24">
        <f t="shared" si="5"/>
        <v>6480.545454545455</v>
      </c>
      <c r="N52" s="3" t="s">
        <v>610</v>
      </c>
      <c r="O52" s="117">
        <v>176</v>
      </c>
      <c r="P52" s="117">
        <v>532</v>
      </c>
      <c r="Q52" s="117" t="s">
        <v>1043</v>
      </c>
      <c r="R52" s="142">
        <v>476000</v>
      </c>
      <c r="S52" s="127">
        <v>0.82352941176470584</v>
      </c>
      <c r="T52" s="9">
        <f t="shared" si="6"/>
        <v>1740576</v>
      </c>
      <c r="U52" s="9">
        <f>VLOOKUP(A52,[1]!Table1[[Investor]:[Total Amount]],20,FALSE)</f>
        <v>1740576</v>
      </c>
      <c r="V52" s="9" t="b">
        <f t="shared" si="7"/>
        <v>1</v>
      </c>
      <c r="W52" s="143"/>
    </row>
    <row r="53" spans="1:23">
      <c r="A53" s="122" t="s">
        <v>757</v>
      </c>
      <c r="B53" s="29" t="s">
        <v>741</v>
      </c>
      <c r="C53" s="29" t="s">
        <v>756</v>
      </c>
      <c r="D53" s="9">
        <f>SUMIF(Main_Data_Sales!$B$2:$B$261,'Investor Master Data'!$C53,Main_Data_Sales!$T$2:$T$261)</f>
        <v>101</v>
      </c>
      <c r="E53" s="9">
        <f>SUMIF(Main_Data_Service!$B$2:$B$111,'Investor Master Data'!$C53,Main_Data_Service!$T$2:$T$111)</f>
        <v>0</v>
      </c>
      <c r="F53" s="64">
        <f t="shared" si="0"/>
        <v>101</v>
      </c>
      <c r="G53" s="52">
        <v>0.9</v>
      </c>
      <c r="H53" s="52">
        <v>0.6788932723214286</v>
      </c>
      <c r="I53" s="24">
        <f t="shared" si="1"/>
        <v>0</v>
      </c>
      <c r="J53" s="24">
        <f t="shared" si="2"/>
        <v>0</v>
      </c>
      <c r="K53" s="24">
        <f t="shared" si="3"/>
        <v>0</v>
      </c>
      <c r="L53" s="24">
        <f t="shared" ref="L53" si="9">SUM(I53:K53)</f>
        <v>0</v>
      </c>
      <c r="M53" s="24">
        <f t="shared" si="5"/>
        <v>0</v>
      </c>
      <c r="N53" s="3" t="s">
        <v>609</v>
      </c>
      <c r="O53" s="117">
        <v>63</v>
      </c>
      <c r="P53" s="117">
        <v>238</v>
      </c>
      <c r="Q53" s="117" t="s">
        <v>1039</v>
      </c>
      <c r="R53" s="142">
        <v>156000</v>
      </c>
      <c r="S53" s="127">
        <v>0.80882352941176472</v>
      </c>
      <c r="T53" s="9">
        <f t="shared" si="6"/>
        <v>0</v>
      </c>
      <c r="U53" s="9">
        <f>VLOOKUP(A53,[1]!Table1[[Investor]:[Total Amount]],20,FALSE)</f>
        <v>0</v>
      </c>
      <c r="V53" s="9" t="b">
        <f t="shared" si="7"/>
        <v>1</v>
      </c>
      <c r="W53" s="143"/>
    </row>
    <row r="54" spans="1:23">
      <c r="A54" s="122" t="s">
        <v>658</v>
      </c>
      <c r="B54" s="29" t="s">
        <v>41</v>
      </c>
      <c r="C54" s="29" t="s">
        <v>545</v>
      </c>
      <c r="D54" s="9">
        <f>SUMIF(Main_Data_Sales!$B$2:$B$261,'Investor Master Data'!$C54,Main_Data_Sales!$T$2:$T$261)</f>
        <v>0</v>
      </c>
      <c r="E54" s="9">
        <f>SUMIF(Main_Data_Service!$B$2:$B$111,'Investor Master Data'!$C54,Main_Data_Service!$T$2:$T$111)</f>
        <v>0</v>
      </c>
      <c r="F54" s="64">
        <f t="shared" si="0"/>
        <v>0</v>
      </c>
      <c r="G54" s="52">
        <v>1.15625</v>
      </c>
      <c r="H54" s="52">
        <v>0.8741838104166666</v>
      </c>
      <c r="I54" s="24">
        <f t="shared" si="1"/>
        <v>0</v>
      </c>
      <c r="J54" s="24">
        <f t="shared" si="2"/>
        <v>0</v>
      </c>
      <c r="K54" s="24">
        <f t="shared" si="3"/>
        <v>0</v>
      </c>
      <c r="L54" s="24">
        <f t="shared" si="4"/>
        <v>0</v>
      </c>
      <c r="M54" s="24">
        <f t="shared" si="5"/>
        <v>0</v>
      </c>
      <c r="N54" s="3" t="s">
        <v>608</v>
      </c>
      <c r="O54" s="117">
        <v>37</v>
      </c>
      <c r="P54" s="117">
        <v>93</v>
      </c>
      <c r="Q54" s="117" t="s">
        <v>1043</v>
      </c>
      <c r="R54" s="142">
        <v>480000</v>
      </c>
      <c r="S54" s="127">
        <v>1.15625</v>
      </c>
      <c r="T54" s="9">
        <f t="shared" si="6"/>
        <v>0</v>
      </c>
      <c r="U54" s="9">
        <f>VLOOKUP(A54,[1]!Table1[[Investor]:[Total Amount]],20,FALSE)</f>
        <v>0</v>
      </c>
      <c r="V54" s="9" t="b">
        <f t="shared" si="7"/>
        <v>1</v>
      </c>
      <c r="W54" s="143"/>
    </row>
    <row r="55" spans="1:23">
      <c r="A55" s="122" t="s">
        <v>661</v>
      </c>
      <c r="B55" s="29" t="s">
        <v>42</v>
      </c>
      <c r="C55" s="29" t="s">
        <v>546</v>
      </c>
      <c r="D55" s="9">
        <f>SUMIF(Main_Data_Sales!$B$2:$B$261,'Investor Master Data'!$C55,Main_Data_Sales!$T$2:$T$261)</f>
        <v>111</v>
      </c>
      <c r="E55" s="9">
        <f>SUMIF(Main_Data_Service!$B$2:$B$111,'Investor Master Data'!$C55,Main_Data_Service!$T$2:$T$111)</f>
        <v>240</v>
      </c>
      <c r="F55" s="64">
        <f t="shared" si="0"/>
        <v>351</v>
      </c>
      <c r="G55" s="52">
        <v>4</v>
      </c>
      <c r="H55" s="52">
        <v>1.0610186615042858</v>
      </c>
      <c r="I55" s="24">
        <f t="shared" si="1"/>
        <v>0</v>
      </c>
      <c r="J55" s="24">
        <f t="shared" si="2"/>
        <v>0</v>
      </c>
      <c r="K55" s="24">
        <f t="shared" si="3"/>
        <v>0</v>
      </c>
      <c r="L55" s="24">
        <f t="shared" si="4"/>
        <v>0</v>
      </c>
      <c r="M55" s="24">
        <f t="shared" si="5"/>
        <v>0</v>
      </c>
      <c r="N55" s="3" t="s">
        <v>608</v>
      </c>
      <c r="O55" s="117">
        <v>36</v>
      </c>
      <c r="P55" s="117">
        <v>179</v>
      </c>
      <c r="Q55" s="117" t="s">
        <v>1043</v>
      </c>
      <c r="R55" s="142">
        <v>620000</v>
      </c>
      <c r="S55" s="127">
        <v>1.3090909090909091</v>
      </c>
      <c r="T55" s="9">
        <f t="shared" si="6"/>
        <v>0</v>
      </c>
      <c r="U55" s="9">
        <f>VLOOKUP(A55,[1]!Table1[[Investor]:[Total Amount]],20,FALSE)</f>
        <v>0</v>
      </c>
      <c r="V55" s="9" t="b">
        <f t="shared" si="7"/>
        <v>1</v>
      </c>
      <c r="W55" s="143"/>
    </row>
    <row r="56" spans="1:23">
      <c r="A56" s="122" t="s">
        <v>663</v>
      </c>
      <c r="B56" s="29" t="s">
        <v>43</v>
      </c>
      <c r="C56" s="29" t="s">
        <v>547</v>
      </c>
      <c r="D56" s="9">
        <f>SUMIF(Main_Data_Sales!$B$2:$B$261,'Investor Master Data'!$C56,Main_Data_Sales!$T$2:$T$261)</f>
        <v>219</v>
      </c>
      <c r="E56" s="9">
        <f>SUMIF(Main_Data_Service!$B$2:$B$111,'Investor Master Data'!$C56,Main_Data_Service!$T$2:$T$111)</f>
        <v>465</v>
      </c>
      <c r="F56" s="64">
        <f t="shared" si="0"/>
        <v>684</v>
      </c>
      <c r="G56" s="52">
        <v>1.1388888888888888</v>
      </c>
      <c r="H56" s="52">
        <v>1.1350078891982143</v>
      </c>
      <c r="I56" s="24">
        <f t="shared" si="1"/>
        <v>600000</v>
      </c>
      <c r="J56" s="24">
        <f t="shared" si="2"/>
        <v>588924</v>
      </c>
      <c r="K56" s="24">
        <f t="shared" si="3"/>
        <v>0</v>
      </c>
      <c r="L56" s="24">
        <f t="shared" si="4"/>
        <v>1188924</v>
      </c>
      <c r="M56" s="24">
        <f t="shared" si="5"/>
        <v>6414.0162601626016</v>
      </c>
      <c r="N56" s="3" t="s">
        <v>609</v>
      </c>
      <c r="O56" s="117">
        <v>123</v>
      </c>
      <c r="P56" s="117">
        <v>307</v>
      </c>
      <c r="Q56" s="117" t="s">
        <v>1043</v>
      </c>
      <c r="R56" s="142">
        <v>1780000</v>
      </c>
      <c r="S56" s="127">
        <v>1.1650485436893203</v>
      </c>
      <c r="T56" s="9">
        <f t="shared" si="6"/>
        <v>1188924</v>
      </c>
      <c r="U56" s="9">
        <f>VLOOKUP(A56,[1]!Table1[[Investor]:[Total Amount]],20,FALSE)</f>
        <v>1188924</v>
      </c>
      <c r="V56" s="9" t="b">
        <f t="shared" si="7"/>
        <v>1</v>
      </c>
      <c r="W56" s="143"/>
    </row>
    <row r="57" spans="1:23">
      <c r="A57" s="122" t="s">
        <v>664</v>
      </c>
      <c r="B57" s="29" t="s">
        <v>44</v>
      </c>
      <c r="C57" s="29" t="s">
        <v>548</v>
      </c>
      <c r="D57" s="9">
        <f>SUMIF(Main_Data_Sales!$B$2:$B$261,'Investor Master Data'!$C57,Main_Data_Sales!$T$2:$T$261)</f>
        <v>0</v>
      </c>
      <c r="E57" s="9">
        <f>SUMIF(Main_Data_Service!$B$2:$B$111,'Investor Master Data'!$C57,Main_Data_Service!$T$2:$T$111)</f>
        <v>0</v>
      </c>
      <c r="F57" s="64">
        <f t="shared" si="0"/>
        <v>0</v>
      </c>
      <c r="G57" s="52">
        <v>0.59459459459459463</v>
      </c>
      <c r="H57" s="52">
        <v>1.0325522571428574</v>
      </c>
      <c r="I57" s="24">
        <f t="shared" si="1"/>
        <v>0</v>
      </c>
      <c r="J57" s="24">
        <f t="shared" si="2"/>
        <v>0</v>
      </c>
      <c r="K57" s="24">
        <f t="shared" si="3"/>
        <v>0</v>
      </c>
      <c r="L57" s="24">
        <f t="shared" si="4"/>
        <v>0</v>
      </c>
      <c r="M57" s="24">
        <f t="shared" si="5"/>
        <v>0</v>
      </c>
      <c r="N57" s="3" t="s">
        <v>608</v>
      </c>
      <c r="O57" s="117">
        <v>22</v>
      </c>
      <c r="P57" s="117">
        <v>85</v>
      </c>
      <c r="Q57" s="117" t="s">
        <v>1043</v>
      </c>
      <c r="R57" s="142">
        <v>0</v>
      </c>
      <c r="S57" s="127">
        <v>0.6785714285714286</v>
      </c>
      <c r="T57" s="9">
        <f t="shared" si="6"/>
        <v>0</v>
      </c>
      <c r="U57" s="9">
        <f>VLOOKUP(A57,[1]!Table1[[Investor]:[Total Amount]],20,FALSE)</f>
        <v>0</v>
      </c>
      <c r="V57" s="9" t="b">
        <f t="shared" si="7"/>
        <v>1</v>
      </c>
      <c r="W57" s="143"/>
    </row>
    <row r="58" spans="1:23">
      <c r="A58" s="122" t="s">
        <v>665</v>
      </c>
      <c r="B58" s="29" t="s">
        <v>45</v>
      </c>
      <c r="C58" s="29" t="s">
        <v>549</v>
      </c>
      <c r="D58" s="9">
        <f>SUMIF(Main_Data_Sales!$B$2:$B$261,'Investor Master Data'!$C58,Main_Data_Sales!$T$2:$T$261)</f>
        <v>280</v>
      </c>
      <c r="E58" s="9">
        <f>SUMIF(Main_Data_Service!$B$2:$B$111,'Investor Master Data'!$C58,Main_Data_Service!$T$2:$T$111)</f>
        <v>260</v>
      </c>
      <c r="F58" s="64">
        <f t="shared" si="0"/>
        <v>540</v>
      </c>
      <c r="G58" s="52">
        <v>1.2702702702702702</v>
      </c>
      <c r="H58" s="52">
        <v>1.4113384317406121</v>
      </c>
      <c r="I58" s="24">
        <f t="shared" si="1"/>
        <v>0</v>
      </c>
      <c r="J58" s="24">
        <f t="shared" si="2"/>
        <v>0</v>
      </c>
      <c r="K58" s="24">
        <f t="shared" si="3"/>
        <v>0</v>
      </c>
      <c r="L58" s="24">
        <f t="shared" si="4"/>
        <v>0</v>
      </c>
      <c r="M58" s="24">
        <f t="shared" si="5"/>
        <v>0</v>
      </c>
      <c r="N58" s="3" t="s">
        <v>609</v>
      </c>
      <c r="O58" s="117">
        <v>94</v>
      </c>
      <c r="P58" s="117">
        <v>226</v>
      </c>
      <c r="Q58" s="117" t="s">
        <v>1043</v>
      </c>
      <c r="R58" s="142">
        <v>1400000</v>
      </c>
      <c r="S58" s="127">
        <v>1.1891891891891893</v>
      </c>
      <c r="T58" s="9">
        <f t="shared" si="6"/>
        <v>0</v>
      </c>
      <c r="U58" s="9">
        <f>VLOOKUP(A58,[1]!Table1[[Investor]:[Total Amount]],20,FALSE)</f>
        <v>0</v>
      </c>
      <c r="V58" s="9" t="b">
        <f t="shared" si="7"/>
        <v>1</v>
      </c>
      <c r="W58" s="143"/>
    </row>
    <row r="59" spans="1:23">
      <c r="A59" s="122" t="s">
        <v>666</v>
      </c>
      <c r="B59" s="29" t="s">
        <v>46</v>
      </c>
      <c r="C59" s="61" t="s">
        <v>550</v>
      </c>
      <c r="D59" s="9">
        <f>SUMIF(Main_Data_Sales!$B$2:$B$261,'Investor Master Data'!$C59,Main_Data_Sales!$T$2:$T$261)</f>
        <v>347</v>
      </c>
      <c r="E59" s="9">
        <f>SUMIF(Main_Data_Service!$B$2:$B$111,'Investor Master Data'!$C59,Main_Data_Service!$T$2:$T$111)</f>
        <v>460</v>
      </c>
      <c r="F59" s="64">
        <f t="shared" si="0"/>
        <v>807</v>
      </c>
      <c r="G59" s="52">
        <v>1.196969696969697</v>
      </c>
      <c r="H59" s="52">
        <v>0.9629080694183868</v>
      </c>
      <c r="I59" s="24">
        <f t="shared" si="1"/>
        <v>600000</v>
      </c>
      <c r="J59" s="24">
        <f t="shared" si="2"/>
        <v>446271</v>
      </c>
      <c r="K59" s="24">
        <f t="shared" si="3"/>
        <v>56000</v>
      </c>
      <c r="L59" s="24">
        <f t="shared" si="4"/>
        <v>1102271</v>
      </c>
      <c r="M59" s="24">
        <f t="shared" si="5"/>
        <v>8889.5063291139249</v>
      </c>
      <c r="N59" s="3" t="s">
        <v>609</v>
      </c>
      <c r="O59" s="117">
        <v>79</v>
      </c>
      <c r="P59" s="117">
        <v>210</v>
      </c>
      <c r="Q59" s="117" t="s">
        <v>1043</v>
      </c>
      <c r="R59" s="142">
        <v>1120000</v>
      </c>
      <c r="S59" s="127">
        <v>1.1126760563380282</v>
      </c>
      <c r="T59" s="9">
        <f t="shared" si="6"/>
        <v>1102271</v>
      </c>
      <c r="U59" s="9">
        <f>VLOOKUP(A59,[1]!Table1[[Investor]:[Total Amount]],20,FALSE)</f>
        <v>1102271</v>
      </c>
      <c r="V59" s="9" t="b">
        <f t="shared" si="7"/>
        <v>1</v>
      </c>
      <c r="W59" s="143"/>
    </row>
    <row r="60" spans="1:23">
      <c r="A60" s="122" t="s">
        <v>662</v>
      </c>
      <c r="B60" s="29" t="s">
        <v>47</v>
      </c>
      <c r="C60" s="29" t="s">
        <v>551</v>
      </c>
      <c r="D60" s="9">
        <f>SUMIF(Main_Data_Sales!$B$2:$B$261,'Investor Master Data'!$C60,Main_Data_Sales!$T$2:$T$261)</f>
        <v>0</v>
      </c>
      <c r="E60" s="9">
        <f>SUMIF(Main_Data_Service!$B$2:$B$111,'Investor Master Data'!$C60,Main_Data_Service!$T$2:$T$111)</f>
        <v>0</v>
      </c>
      <c r="F60" s="64">
        <f t="shared" si="0"/>
        <v>0</v>
      </c>
      <c r="G60" s="52">
        <v>0.80487804878048785</v>
      </c>
      <c r="H60" s="52">
        <v>1.0508960846560855</v>
      </c>
      <c r="I60" s="24">
        <f t="shared" si="1"/>
        <v>0</v>
      </c>
      <c r="J60" s="24">
        <f t="shared" si="2"/>
        <v>0</v>
      </c>
      <c r="K60" s="24">
        <f t="shared" si="3"/>
        <v>0</v>
      </c>
      <c r="L60" s="24">
        <f t="shared" si="4"/>
        <v>0</v>
      </c>
      <c r="M60" s="24">
        <f t="shared" si="5"/>
        <v>0</v>
      </c>
      <c r="N60" s="3" t="s">
        <v>608</v>
      </c>
      <c r="O60" s="117">
        <v>33</v>
      </c>
      <c r="P60" s="117">
        <v>112</v>
      </c>
      <c r="Q60" s="117" t="s">
        <v>1043</v>
      </c>
      <c r="R60" s="142">
        <v>72000</v>
      </c>
      <c r="S60" s="127">
        <v>0.80487804878048785</v>
      </c>
      <c r="T60" s="9">
        <f t="shared" si="6"/>
        <v>0</v>
      </c>
      <c r="U60" s="9">
        <f>VLOOKUP(A60,[1]!Table1[[Investor]:[Total Amount]],20,FALSE)</f>
        <v>0</v>
      </c>
      <c r="V60" s="9" t="b">
        <f t="shared" si="7"/>
        <v>1</v>
      </c>
      <c r="W60" s="143"/>
    </row>
    <row r="61" spans="1:23">
      <c r="A61" s="122" t="s">
        <v>1053</v>
      </c>
      <c r="B61" s="29" t="s">
        <v>1052</v>
      </c>
      <c r="C61" s="29" t="s">
        <v>1054</v>
      </c>
      <c r="D61" s="9">
        <f>SUMIF(Main_Data_Sales!$B$2:$B$261,'Investor Master Data'!$C61,Main_Data_Sales!$T$2:$T$261)</f>
        <v>47</v>
      </c>
      <c r="E61" s="9">
        <f>SUMIF(Main_Data_Service!$B$2:$B$111,'Investor Master Data'!$C61,Main_Data_Service!$T$2:$T$111)</f>
        <v>0</v>
      </c>
      <c r="F61" s="64">
        <f t="shared" si="0"/>
        <v>47</v>
      </c>
      <c r="G61" s="52">
        <v>1.1904761904761905</v>
      </c>
      <c r="H61" s="52">
        <v>0.62240915915915951</v>
      </c>
      <c r="I61" s="24">
        <f t="shared" si="1"/>
        <v>0</v>
      </c>
      <c r="J61" s="24">
        <f t="shared" si="2"/>
        <v>0</v>
      </c>
      <c r="K61" s="24">
        <f t="shared" si="3"/>
        <v>0</v>
      </c>
      <c r="L61" s="24">
        <f t="shared" si="4"/>
        <v>0</v>
      </c>
      <c r="M61" s="24">
        <f t="shared" si="5"/>
        <v>0</v>
      </c>
      <c r="N61" s="3" t="s">
        <v>608</v>
      </c>
      <c r="O61" s="117">
        <v>50</v>
      </c>
      <c r="P61" s="117">
        <v>138</v>
      </c>
      <c r="Q61" s="117" t="s">
        <v>1043</v>
      </c>
      <c r="R61" s="142">
        <v>640000</v>
      </c>
      <c r="S61" s="127">
        <v>1.1428571428571428</v>
      </c>
      <c r="T61" s="9">
        <f t="shared" si="6"/>
        <v>0</v>
      </c>
      <c r="U61" s="9">
        <f>VLOOKUP(A61,[1]!Table1[[Investor]:[Total Amount]],20,FALSE)</f>
        <v>0</v>
      </c>
      <c r="V61" s="9" t="b">
        <f t="shared" si="7"/>
        <v>1</v>
      </c>
      <c r="W61" s="143"/>
    </row>
    <row r="62" spans="1:23">
      <c r="A62" s="122" t="s">
        <v>755</v>
      </c>
      <c r="B62" s="29" t="s">
        <v>743</v>
      </c>
      <c r="C62" s="29" t="s">
        <v>753</v>
      </c>
      <c r="D62" s="9">
        <f>SUMIF(Main_Data_Sales!$B$2:$B$261,'Investor Master Data'!$C62,Main_Data_Sales!$T$2:$T$261)</f>
        <v>0</v>
      </c>
      <c r="E62" s="9">
        <f>SUMIF(Main_Data_Service!$B$2:$B$111,'Investor Master Data'!$C62,Main_Data_Service!$T$2:$T$111)</f>
        <v>0</v>
      </c>
      <c r="F62" s="64">
        <f t="shared" si="0"/>
        <v>0</v>
      </c>
      <c r="G62" s="52">
        <v>1.2105263157894737</v>
      </c>
      <c r="H62" s="52">
        <v>0.82703480597014911</v>
      </c>
      <c r="I62" s="24">
        <f t="shared" si="1"/>
        <v>0</v>
      </c>
      <c r="J62" s="24">
        <f t="shared" si="2"/>
        <v>0</v>
      </c>
      <c r="K62" s="24">
        <f t="shared" si="3"/>
        <v>0</v>
      </c>
      <c r="L62" s="24">
        <f t="shared" ref="L62" si="10">SUM(I62:K62)</f>
        <v>0</v>
      </c>
      <c r="M62" s="24">
        <f t="shared" si="5"/>
        <v>0</v>
      </c>
      <c r="N62" s="3" t="s">
        <v>608</v>
      </c>
      <c r="O62" s="117">
        <v>46</v>
      </c>
      <c r="P62" s="117">
        <v>155</v>
      </c>
      <c r="Q62" s="117" t="s">
        <v>1039</v>
      </c>
      <c r="R62" s="142">
        <v>800000</v>
      </c>
      <c r="S62" s="127">
        <v>1.1904761904761905</v>
      </c>
      <c r="T62" s="9">
        <f t="shared" si="6"/>
        <v>0</v>
      </c>
      <c r="U62" s="9">
        <f>VLOOKUP(A62,[1]!Table1[[Investor]:[Total Amount]],20,FALSE)</f>
        <v>0</v>
      </c>
      <c r="V62" s="9" t="b">
        <f t="shared" si="7"/>
        <v>1</v>
      </c>
      <c r="W62" s="143"/>
    </row>
    <row r="63" spans="1:23">
      <c r="A63" s="122" t="s">
        <v>668</v>
      </c>
      <c r="B63" s="29" t="s">
        <v>49</v>
      </c>
      <c r="C63" s="29" t="s">
        <v>552</v>
      </c>
      <c r="D63" s="9">
        <f>SUMIF(Main_Data_Sales!$B$2:$B$261,'Investor Master Data'!$C63,Main_Data_Sales!$T$2:$T$261)</f>
        <v>75</v>
      </c>
      <c r="E63" s="9">
        <f>SUMIF(Main_Data_Service!$B$2:$B$111,'Investor Master Data'!$C63,Main_Data_Service!$T$2:$T$111)</f>
        <v>0</v>
      </c>
      <c r="F63" s="64">
        <f t="shared" si="0"/>
        <v>75</v>
      </c>
      <c r="G63" s="52">
        <v>1.1527777777777777</v>
      </c>
      <c r="H63" s="52">
        <v>0.89017442352941212</v>
      </c>
      <c r="I63" s="24">
        <f t="shared" si="1"/>
        <v>0</v>
      </c>
      <c r="J63" s="24">
        <f t="shared" si="2"/>
        <v>0</v>
      </c>
      <c r="K63" s="24">
        <f t="shared" si="3"/>
        <v>0</v>
      </c>
      <c r="L63" s="24">
        <f t="shared" si="4"/>
        <v>0</v>
      </c>
      <c r="M63" s="24">
        <f t="shared" si="5"/>
        <v>0</v>
      </c>
      <c r="N63" s="3" t="s">
        <v>609</v>
      </c>
      <c r="O63" s="117">
        <v>83</v>
      </c>
      <c r="P63" s="117">
        <v>202</v>
      </c>
      <c r="Q63" s="117" t="s">
        <v>1043</v>
      </c>
      <c r="R63" s="142">
        <v>825000</v>
      </c>
      <c r="S63" s="127">
        <v>1.0555555555555556</v>
      </c>
      <c r="T63" s="9">
        <f t="shared" si="6"/>
        <v>0</v>
      </c>
      <c r="U63" s="9">
        <f>VLOOKUP(A63,[1]!Table1[[Investor]:[Total Amount]],20,FALSE)</f>
        <v>0</v>
      </c>
      <c r="V63" s="9" t="b">
        <f t="shared" si="7"/>
        <v>1</v>
      </c>
      <c r="W63" s="143"/>
    </row>
    <row r="64" spans="1:23">
      <c r="A64" s="122" t="s">
        <v>669</v>
      </c>
      <c r="B64" s="29" t="s">
        <v>50</v>
      </c>
      <c r="C64" s="29" t="s">
        <v>553</v>
      </c>
      <c r="D64" s="9">
        <f>SUMIF(Main_Data_Sales!$B$2:$B$261,'Investor Master Data'!$C64,Main_Data_Sales!$T$2:$T$261)</f>
        <v>0</v>
      </c>
      <c r="E64" s="9">
        <f>SUMIF(Main_Data_Service!$B$2:$B$111,'Investor Master Data'!$C64,Main_Data_Service!$T$2:$T$111)</f>
        <v>0</v>
      </c>
      <c r="F64" s="64">
        <f t="shared" si="0"/>
        <v>0</v>
      </c>
      <c r="G64" s="52">
        <v>0.23684210526315788</v>
      </c>
      <c r="H64" s="52">
        <v>0.68410479151943437</v>
      </c>
      <c r="I64" s="24">
        <f t="shared" si="1"/>
        <v>0</v>
      </c>
      <c r="J64" s="24">
        <f t="shared" si="2"/>
        <v>0</v>
      </c>
      <c r="K64" s="24">
        <f t="shared" si="3"/>
        <v>0</v>
      </c>
      <c r="L64" s="24">
        <f t="shared" si="4"/>
        <v>0</v>
      </c>
      <c r="M64" s="24">
        <f t="shared" si="5"/>
        <v>0</v>
      </c>
      <c r="N64" s="3" t="s">
        <v>608</v>
      </c>
      <c r="O64" s="117">
        <v>9</v>
      </c>
      <c r="P64" s="117">
        <v>142</v>
      </c>
      <c r="Q64" s="117" t="s">
        <v>1043</v>
      </c>
      <c r="R64" s="142">
        <v>0</v>
      </c>
      <c r="S64" s="127">
        <v>0.45454545454545453</v>
      </c>
      <c r="T64" s="9">
        <f t="shared" si="6"/>
        <v>0</v>
      </c>
      <c r="U64" s="9">
        <f>VLOOKUP(A64,[1]!Table1[[Investor]:[Total Amount]],20,FALSE)</f>
        <v>0</v>
      </c>
      <c r="V64" s="9" t="b">
        <f t="shared" si="7"/>
        <v>1</v>
      </c>
      <c r="W64" s="143"/>
    </row>
    <row r="65" spans="1:23">
      <c r="A65" s="122" t="s">
        <v>670</v>
      </c>
      <c r="B65" s="29" t="s">
        <v>51</v>
      </c>
      <c r="C65" s="29" t="s">
        <v>554</v>
      </c>
      <c r="D65" s="9">
        <f>SUMIF(Main_Data_Sales!$B$2:$B$261,'Investor Master Data'!$C65,Main_Data_Sales!$T$2:$T$261)</f>
        <v>433</v>
      </c>
      <c r="E65" s="9">
        <f>SUMIF(Main_Data_Service!$B$2:$B$111,'Investor Master Data'!$C65,Main_Data_Service!$T$2:$T$111)</f>
        <v>388</v>
      </c>
      <c r="F65" s="64">
        <f t="shared" si="0"/>
        <v>821</v>
      </c>
      <c r="G65" s="52">
        <v>1.1654135338345866</v>
      </c>
      <c r="H65" s="52">
        <v>1.0234260709570948</v>
      </c>
      <c r="I65" s="24">
        <f t="shared" si="1"/>
        <v>600000</v>
      </c>
      <c r="J65" s="24">
        <f t="shared" si="2"/>
        <v>890785</v>
      </c>
      <c r="K65" s="24">
        <f t="shared" si="3"/>
        <v>118000</v>
      </c>
      <c r="L65" s="24">
        <f t="shared" si="4"/>
        <v>1608785</v>
      </c>
      <c r="M65" s="24">
        <f t="shared" si="5"/>
        <v>7798.6129032258068</v>
      </c>
      <c r="N65" s="3" t="s">
        <v>609</v>
      </c>
      <c r="O65" s="117">
        <v>155</v>
      </c>
      <c r="P65" s="117">
        <v>299</v>
      </c>
      <c r="Q65" s="117" t="s">
        <v>1043</v>
      </c>
      <c r="R65" s="142">
        <v>2360000</v>
      </c>
      <c r="S65" s="127">
        <v>1.1359223300970873</v>
      </c>
      <c r="T65" s="9">
        <f t="shared" si="6"/>
        <v>1608785</v>
      </c>
      <c r="U65" s="9">
        <f>VLOOKUP(A65,[1]!Table1[[Investor]:[Total Amount]],20,FALSE)</f>
        <v>1608785</v>
      </c>
      <c r="V65" s="9" t="b">
        <f t="shared" si="7"/>
        <v>1</v>
      </c>
      <c r="W65" s="143"/>
    </row>
    <row r="66" spans="1:23">
      <c r="A66" s="122" t="s">
        <v>671</v>
      </c>
      <c r="B66" s="29" t="s">
        <v>52</v>
      </c>
      <c r="C66" s="29" t="s">
        <v>555</v>
      </c>
      <c r="D66" s="9">
        <f>SUMIF(Main_Data_Sales!$B$2:$B$261,'Investor Master Data'!$C66,Main_Data_Sales!$T$2:$T$261)</f>
        <v>203</v>
      </c>
      <c r="E66" s="9">
        <f>SUMIF(Main_Data_Service!$B$2:$B$111,'Investor Master Data'!$C66,Main_Data_Service!$T$2:$T$111)</f>
        <v>425</v>
      </c>
      <c r="F66" s="64">
        <f t="shared" si="0"/>
        <v>628</v>
      </c>
      <c r="G66" s="52">
        <v>1.1395348837209303</v>
      </c>
      <c r="H66" s="52">
        <v>0.97705378694158118</v>
      </c>
      <c r="I66" s="24">
        <f t="shared" si="1"/>
        <v>600000</v>
      </c>
      <c r="J66" s="24">
        <f t="shared" si="2"/>
        <v>430808</v>
      </c>
      <c r="K66" s="24">
        <f t="shared" si="3"/>
        <v>0</v>
      </c>
      <c r="L66" s="24">
        <f t="shared" si="4"/>
        <v>1030808</v>
      </c>
      <c r="M66" s="24">
        <f t="shared" si="5"/>
        <v>6436.8163265306121</v>
      </c>
      <c r="N66" s="3" t="s">
        <v>609</v>
      </c>
      <c r="O66" s="117">
        <v>98</v>
      </c>
      <c r="P66" s="117">
        <v>237</v>
      </c>
      <c r="Q66" s="117" t="s">
        <v>1043</v>
      </c>
      <c r="R66" s="142">
        <v>750000</v>
      </c>
      <c r="S66" s="127">
        <v>1.0309278350515463</v>
      </c>
      <c r="T66" s="9">
        <f t="shared" si="6"/>
        <v>1030808</v>
      </c>
      <c r="U66" s="9">
        <f>VLOOKUP(A66,[1]!Table1[[Investor]:[Total Amount]],20,FALSE)</f>
        <v>1030808</v>
      </c>
      <c r="V66" s="9" t="b">
        <f t="shared" si="7"/>
        <v>1</v>
      </c>
      <c r="W66" s="143"/>
    </row>
    <row r="67" spans="1:23">
      <c r="A67" s="122" t="s">
        <v>672</v>
      </c>
      <c r="B67" s="29" t="s">
        <v>53</v>
      </c>
      <c r="C67" s="29" t="s">
        <v>556</v>
      </c>
      <c r="D67" s="9">
        <f>SUMIF(Main_Data_Sales!$B$2:$B$261,'Investor Master Data'!$C67,Main_Data_Sales!$T$2:$T$261)</f>
        <v>177</v>
      </c>
      <c r="E67" s="9">
        <f>SUMIF(Main_Data_Service!$B$2:$B$111,'Investor Master Data'!$C67,Main_Data_Service!$T$2:$T$111)</f>
        <v>293</v>
      </c>
      <c r="F67" s="64">
        <f t="shared" si="0"/>
        <v>470</v>
      </c>
      <c r="G67" s="52">
        <v>0.96595744680851059</v>
      </c>
      <c r="H67" s="52">
        <v>1.0630671856221343</v>
      </c>
      <c r="I67" s="24">
        <f t="shared" ref="I67:I80" si="11">IF(AND(N67="CAT 1",F67&gt;600),450000,IF(AND(N67="CAT 2",F67&gt;600),600000,IF(AND(N67="CAT 3",F67&gt;600),900000,0)))</f>
        <v>0</v>
      </c>
      <c r="J67" s="24">
        <f t="shared" ref="J67:J80" si="12">(IF(AND(F67&gt;600,N67="CAT 1"),7000,IF(AND(F67&gt;600,N67="CAT 2"),7000,IF(AND(F67&gt;600,N67="CAT 3"),6000,0))))*O67*(F67/1000)</f>
        <v>0</v>
      </c>
      <c r="K67" s="24">
        <f t="shared" si="3"/>
        <v>0</v>
      </c>
      <c r="L67" s="24">
        <f t="shared" si="4"/>
        <v>0</v>
      </c>
      <c r="M67" s="24">
        <f t="shared" si="5"/>
        <v>0</v>
      </c>
      <c r="N67" s="3" t="s">
        <v>610</v>
      </c>
      <c r="O67" s="117">
        <v>227</v>
      </c>
      <c r="P67" s="117">
        <v>750</v>
      </c>
      <c r="Q67" s="117" t="s">
        <v>1043</v>
      </c>
      <c r="R67" s="142">
        <v>702000</v>
      </c>
      <c r="S67" s="127">
        <v>0.94560669456066948</v>
      </c>
      <c r="T67" s="9">
        <f t="shared" si="6"/>
        <v>0</v>
      </c>
      <c r="U67" s="9">
        <f>VLOOKUP(A67,[1]!Table1[[Investor]:[Total Amount]],20,FALSE)</f>
        <v>0</v>
      </c>
      <c r="V67" s="9" t="b">
        <f t="shared" ref="V67:V80" si="13">T67=U67</f>
        <v>1</v>
      </c>
      <c r="W67" s="143"/>
    </row>
    <row r="68" spans="1:23">
      <c r="A68" s="122" t="s">
        <v>673</v>
      </c>
      <c r="B68" s="29" t="s">
        <v>54</v>
      </c>
      <c r="C68" s="29" t="s">
        <v>557</v>
      </c>
      <c r="D68" s="9">
        <f>SUMIF(Main_Data_Sales!$B$2:$B$261,'Investor Master Data'!$C68,Main_Data_Sales!$T$2:$T$261)</f>
        <v>0</v>
      </c>
      <c r="E68" s="9">
        <f>SUMIF(Main_Data_Service!$B$2:$B$111,'Investor Master Data'!$C68,Main_Data_Service!$T$2:$T$111)</f>
        <v>0</v>
      </c>
      <c r="F68" s="64">
        <f t="shared" si="0"/>
        <v>0</v>
      </c>
      <c r="G68" s="52">
        <v>0.6953125</v>
      </c>
      <c r="H68" s="52">
        <v>1.1981894709677425</v>
      </c>
      <c r="I68" s="24">
        <f t="shared" si="11"/>
        <v>0</v>
      </c>
      <c r="J68" s="24">
        <f t="shared" si="12"/>
        <v>0</v>
      </c>
      <c r="K68" s="24">
        <f t="shared" si="3"/>
        <v>0</v>
      </c>
      <c r="L68" s="24">
        <f t="shared" si="4"/>
        <v>0</v>
      </c>
      <c r="M68" s="24">
        <f t="shared" si="5"/>
        <v>0</v>
      </c>
      <c r="N68" s="3" t="s">
        <v>609</v>
      </c>
      <c r="O68" s="117">
        <v>89</v>
      </c>
      <c r="P68" s="117">
        <v>290</v>
      </c>
      <c r="Q68" s="117" t="s">
        <v>1043</v>
      </c>
      <c r="R68" s="142">
        <v>0</v>
      </c>
      <c r="S68" s="127">
        <v>0.85</v>
      </c>
      <c r="T68" s="9">
        <f t="shared" si="6"/>
        <v>0</v>
      </c>
      <c r="U68" s="9">
        <f>VLOOKUP(A68,[1]!Table1[[Investor]:[Total Amount]],20,FALSE)</f>
        <v>0</v>
      </c>
      <c r="V68" s="9" t="b">
        <f t="shared" si="13"/>
        <v>1</v>
      </c>
      <c r="W68" s="143"/>
    </row>
    <row r="69" spans="1:23">
      <c r="A69" s="122" t="s">
        <v>674</v>
      </c>
      <c r="B69" s="29" t="s">
        <v>55</v>
      </c>
      <c r="C69" s="29" t="s">
        <v>558</v>
      </c>
      <c r="D69" s="9">
        <f>SUMIF(Main_Data_Sales!$B$2:$B$261,'Investor Master Data'!$C69,Main_Data_Sales!$T$2:$T$261)</f>
        <v>314</v>
      </c>
      <c r="E69" s="9">
        <f>SUMIF(Main_Data_Service!$B$2:$B$111,'Investor Master Data'!$C69,Main_Data_Service!$T$2:$T$111)</f>
        <v>90</v>
      </c>
      <c r="F69" s="64">
        <f t="shared" ref="F69:F84" si="14">ROUND(SUM(D69:E69),0)</f>
        <v>404</v>
      </c>
      <c r="G69" s="52">
        <v>1.096938775510204</v>
      </c>
      <c r="H69" s="52">
        <v>1.1180657861178362</v>
      </c>
      <c r="I69" s="24">
        <f t="shared" si="11"/>
        <v>0</v>
      </c>
      <c r="J69" s="24">
        <f t="shared" si="12"/>
        <v>0</v>
      </c>
      <c r="K69" s="24">
        <f t="shared" ref="K69:K84" si="15">IF(AND(F69&gt;900,S69&gt;=100%),R69*0.1,IF(AND(F69&gt;750,F69&lt;901,S69&gt;=100%),R69*0.05,0))</f>
        <v>0</v>
      </c>
      <c r="L69" s="24">
        <f t="shared" si="4"/>
        <v>0</v>
      </c>
      <c r="M69" s="24">
        <f t="shared" ref="M69:M84" si="16">IFERROR(SUM(I69/3,J69,K69)/O69,0)</f>
        <v>0</v>
      </c>
      <c r="N69" s="3" t="s">
        <v>610</v>
      </c>
      <c r="O69" s="117">
        <v>215</v>
      </c>
      <c r="P69" s="117">
        <v>490</v>
      </c>
      <c r="Q69" s="117" t="s">
        <v>1043</v>
      </c>
      <c r="R69" s="142">
        <v>2780000</v>
      </c>
      <c r="S69" s="127">
        <v>1.1452513966480447</v>
      </c>
      <c r="T69" s="9">
        <f t="shared" ref="T69:T84" si="17">L69</f>
        <v>0</v>
      </c>
      <c r="U69" s="9">
        <f>VLOOKUP(A69,[1]!Table1[[Investor]:[Total Amount]],20,FALSE)</f>
        <v>0</v>
      </c>
      <c r="V69" s="9" t="b">
        <f t="shared" si="13"/>
        <v>1</v>
      </c>
      <c r="W69" s="143"/>
    </row>
    <row r="70" spans="1:23">
      <c r="A70" s="122" t="s">
        <v>675</v>
      </c>
      <c r="B70" s="29" t="s">
        <v>56</v>
      </c>
      <c r="C70" s="29" t="s">
        <v>559</v>
      </c>
      <c r="D70" s="9">
        <f>SUMIF(Main_Data_Sales!$B$2:$B$261,'Investor Master Data'!$C70,Main_Data_Sales!$T$2:$T$261)</f>
        <v>342</v>
      </c>
      <c r="E70" s="9">
        <f>SUMIF(Main_Data_Service!$B$2:$B$111,'Investor Master Data'!$C70,Main_Data_Service!$T$2:$T$111)</f>
        <v>345</v>
      </c>
      <c r="F70" s="64">
        <f t="shared" si="14"/>
        <v>687</v>
      </c>
      <c r="G70" s="52">
        <v>0.95833333333333337</v>
      </c>
      <c r="H70" s="52">
        <v>1.4305060769230775</v>
      </c>
      <c r="I70" s="24">
        <f t="shared" si="11"/>
        <v>450000</v>
      </c>
      <c r="J70" s="24">
        <f t="shared" si="12"/>
        <v>110607.00000000001</v>
      </c>
      <c r="K70" s="24">
        <f t="shared" si="15"/>
        <v>0</v>
      </c>
      <c r="L70" s="24">
        <f t="shared" ref="L70:L80" si="18">SUM(I70:K70)</f>
        <v>560607</v>
      </c>
      <c r="M70" s="24">
        <f t="shared" si="16"/>
        <v>11330.739130434782</v>
      </c>
      <c r="N70" s="3" t="s">
        <v>608</v>
      </c>
      <c r="O70" s="117">
        <v>23</v>
      </c>
      <c r="P70" s="117">
        <v>83</v>
      </c>
      <c r="Q70" s="117" t="s">
        <v>1043</v>
      </c>
      <c r="R70" s="142">
        <v>64000</v>
      </c>
      <c r="S70" s="127">
        <v>0.8214285714285714</v>
      </c>
      <c r="T70" s="9">
        <f t="shared" si="17"/>
        <v>560607</v>
      </c>
      <c r="U70" s="9">
        <f>VLOOKUP(A70,[1]!Table1[[Investor]:[Total Amount]],20,FALSE)</f>
        <v>560607</v>
      </c>
      <c r="V70" s="9" t="b">
        <f t="shared" si="13"/>
        <v>1</v>
      </c>
      <c r="W70" s="143"/>
    </row>
    <row r="71" spans="1:23">
      <c r="A71" s="122" t="s">
        <v>676</v>
      </c>
      <c r="B71" s="29" t="s">
        <v>57</v>
      </c>
      <c r="C71" s="29" t="s">
        <v>560</v>
      </c>
      <c r="D71" s="9">
        <f>SUMIF(Main_Data_Sales!$B$2:$B$261,'Investor Master Data'!$C71,Main_Data_Sales!$T$2:$T$261)</f>
        <v>260</v>
      </c>
      <c r="E71" s="9">
        <f>SUMIF(Main_Data_Service!$B$2:$B$111,'Investor Master Data'!$C71,Main_Data_Service!$T$2:$T$111)</f>
        <v>250</v>
      </c>
      <c r="F71" s="64">
        <f t="shared" si="14"/>
        <v>510</v>
      </c>
      <c r="G71" s="52">
        <v>1.0588235294117647</v>
      </c>
      <c r="H71" s="52">
        <v>1.2879249135135138</v>
      </c>
      <c r="I71" s="24">
        <f t="shared" si="11"/>
        <v>0</v>
      </c>
      <c r="J71" s="24">
        <f t="shared" si="12"/>
        <v>0</v>
      </c>
      <c r="K71" s="24">
        <f t="shared" si="15"/>
        <v>0</v>
      </c>
      <c r="L71" s="24">
        <f t="shared" si="18"/>
        <v>0</v>
      </c>
      <c r="M71" s="24">
        <f t="shared" si="16"/>
        <v>0</v>
      </c>
      <c r="N71" s="3" t="s">
        <v>608</v>
      </c>
      <c r="O71" s="117">
        <v>18</v>
      </c>
      <c r="P71" s="117">
        <v>49</v>
      </c>
      <c r="Q71" s="117" t="s">
        <v>1043</v>
      </c>
      <c r="R71" s="142">
        <v>78000</v>
      </c>
      <c r="S71" s="127">
        <v>0.8125</v>
      </c>
      <c r="T71" s="9">
        <f t="shared" si="17"/>
        <v>0</v>
      </c>
      <c r="U71" s="9">
        <f>VLOOKUP(A71,[1]!Table1[[Investor]:[Total Amount]],20,FALSE)</f>
        <v>0</v>
      </c>
      <c r="V71" s="9" t="b">
        <f t="shared" si="13"/>
        <v>1</v>
      </c>
      <c r="W71" s="143"/>
    </row>
    <row r="72" spans="1:23">
      <c r="A72" s="59" t="s">
        <v>759</v>
      </c>
      <c r="B72" s="29" t="s">
        <v>758</v>
      </c>
      <c r="C72" s="29" t="s">
        <v>761</v>
      </c>
      <c r="D72" s="9">
        <f>SUMIF(Main_Data_Sales!$B$2:$B$261,'Investor Master Data'!$C72,Main_Data_Sales!$T$2:$T$261)</f>
        <v>0</v>
      </c>
      <c r="E72" s="9">
        <f>SUMIF(Main_Data_Service!$B$2:$B$111,'Investor Master Data'!$C72,Main_Data_Service!$T$2:$T$111)</f>
        <v>0</v>
      </c>
      <c r="F72" s="64">
        <f t="shared" si="14"/>
        <v>0</v>
      </c>
      <c r="G72" s="52">
        <v>0.58333333333333337</v>
      </c>
      <c r="H72" s="52">
        <v>1.0194171124260358</v>
      </c>
      <c r="I72" s="24">
        <f t="shared" si="11"/>
        <v>0</v>
      </c>
      <c r="J72" s="24">
        <f t="shared" si="12"/>
        <v>0</v>
      </c>
      <c r="K72" s="24">
        <f t="shared" si="15"/>
        <v>0</v>
      </c>
      <c r="L72" s="24">
        <f t="shared" si="18"/>
        <v>0</v>
      </c>
      <c r="M72" s="24">
        <f t="shared" si="16"/>
        <v>0</v>
      </c>
      <c r="N72" s="3" t="s">
        <v>608</v>
      </c>
      <c r="O72" s="117">
        <v>21</v>
      </c>
      <c r="P72" s="117">
        <v>110</v>
      </c>
      <c r="Q72" s="117" t="s">
        <v>1043</v>
      </c>
      <c r="R72" s="142">
        <v>0</v>
      </c>
      <c r="S72" s="127">
        <v>0.5714285714285714</v>
      </c>
      <c r="T72" s="9">
        <f t="shared" si="17"/>
        <v>0</v>
      </c>
      <c r="U72" s="9">
        <f>VLOOKUP(A72,[1]!Table1[[Investor]:[Total Amount]],20,FALSE)</f>
        <v>0</v>
      </c>
      <c r="V72" s="9" t="b">
        <f t="shared" si="13"/>
        <v>1</v>
      </c>
      <c r="W72" s="143"/>
    </row>
    <row r="73" spans="1:23">
      <c r="A73" s="122" t="s">
        <v>615</v>
      </c>
      <c r="B73" s="29" t="s">
        <v>66</v>
      </c>
      <c r="C73" s="29" t="s">
        <v>683</v>
      </c>
      <c r="D73" s="9">
        <f>SUMIF(Main_Data_Sales!$B$2:$B$261,'Investor Master Data'!$C73,Main_Data_Sales!$T$2:$T$261)</f>
        <v>0</v>
      </c>
      <c r="E73" s="9">
        <f>SUMIF(Main_Data_Service!$B$2:$B$111,'Investor Master Data'!$C73,Main_Data_Service!$T$2:$T$111)</f>
        <v>80</v>
      </c>
      <c r="F73" s="64">
        <f t="shared" si="14"/>
        <v>80</v>
      </c>
      <c r="G73" s="52">
        <v>1.2647058823529411</v>
      </c>
      <c r="H73" s="52">
        <v>0.96820567873303254</v>
      </c>
      <c r="I73" s="24">
        <f t="shared" si="11"/>
        <v>0</v>
      </c>
      <c r="J73" s="24">
        <f t="shared" si="12"/>
        <v>0</v>
      </c>
      <c r="K73" s="24">
        <f t="shared" si="15"/>
        <v>0</v>
      </c>
      <c r="L73" s="24">
        <f t="shared" si="18"/>
        <v>0</v>
      </c>
      <c r="M73" s="24">
        <f t="shared" si="16"/>
        <v>0</v>
      </c>
      <c r="N73" s="3" t="s">
        <v>608</v>
      </c>
      <c r="O73" s="117">
        <v>43</v>
      </c>
      <c r="P73" s="117">
        <v>127</v>
      </c>
      <c r="Q73" s="117" t="s">
        <v>1043</v>
      </c>
      <c r="R73" s="142">
        <v>620000</v>
      </c>
      <c r="S73" s="127">
        <v>1.2142857142857142</v>
      </c>
      <c r="T73" s="9">
        <f t="shared" si="17"/>
        <v>0</v>
      </c>
      <c r="U73" s="9">
        <f>VLOOKUP(A73,[1]!Table1[[Investor]:[Total Amount]],20,FALSE)</f>
        <v>0</v>
      </c>
      <c r="V73" s="9" t="b">
        <f t="shared" si="13"/>
        <v>1</v>
      </c>
      <c r="W73" s="143"/>
    </row>
    <row r="74" spans="1:23">
      <c r="A74" s="122" t="s">
        <v>659</v>
      </c>
      <c r="B74" s="29" t="s">
        <v>67</v>
      </c>
      <c r="C74" s="29" t="s">
        <v>562</v>
      </c>
      <c r="D74" s="9">
        <f>SUMIF(Main_Data_Sales!$B$2:$B$261,'Investor Master Data'!$C74,Main_Data_Sales!$T$2:$T$261)</f>
        <v>44</v>
      </c>
      <c r="E74" s="9">
        <f>SUMIF(Main_Data_Service!$B$2:$B$111,'Investor Master Data'!$C74,Main_Data_Service!$T$2:$T$111)</f>
        <v>0</v>
      </c>
      <c r="F74" s="64">
        <f t="shared" si="14"/>
        <v>44</v>
      </c>
      <c r="G74" s="52">
        <v>1.125</v>
      </c>
      <c r="H74" s="52">
        <v>1.1770638064516128</v>
      </c>
      <c r="I74" s="24">
        <f t="shared" si="11"/>
        <v>0</v>
      </c>
      <c r="J74" s="24">
        <f t="shared" si="12"/>
        <v>0</v>
      </c>
      <c r="K74" s="24">
        <f t="shared" si="15"/>
        <v>0</v>
      </c>
      <c r="L74" s="24">
        <f t="shared" si="18"/>
        <v>0</v>
      </c>
      <c r="M74" s="24">
        <f t="shared" si="16"/>
        <v>0</v>
      </c>
      <c r="N74" s="3" t="s">
        <v>608</v>
      </c>
      <c r="O74" s="117">
        <v>18</v>
      </c>
      <c r="P74" s="117">
        <v>63</v>
      </c>
      <c r="Q74" s="117" t="s">
        <v>1043</v>
      </c>
      <c r="R74" s="142">
        <v>165000</v>
      </c>
      <c r="S74" s="127">
        <v>1</v>
      </c>
      <c r="T74" s="9">
        <f t="shared" si="17"/>
        <v>0</v>
      </c>
      <c r="U74" s="9">
        <f>VLOOKUP(A74,[1]!Table1[[Investor]:[Total Amount]],20,FALSE)</f>
        <v>0</v>
      </c>
      <c r="V74" s="9" t="b">
        <f t="shared" si="13"/>
        <v>1</v>
      </c>
      <c r="W74" s="143"/>
    </row>
    <row r="75" spans="1:23">
      <c r="A75" s="122" t="s">
        <v>677</v>
      </c>
      <c r="B75" s="29" t="s">
        <v>69</v>
      </c>
      <c r="C75" s="29" t="s">
        <v>563</v>
      </c>
      <c r="D75" s="9">
        <f>SUMIF(Main_Data_Sales!$B$2:$B$261,'Investor Master Data'!$C75,Main_Data_Sales!$T$2:$T$261)</f>
        <v>0</v>
      </c>
      <c r="E75" s="9">
        <f>SUMIF(Main_Data_Service!$B$2:$B$111,'Investor Master Data'!$C75,Main_Data_Service!$T$2:$T$111)</f>
        <v>0</v>
      </c>
      <c r="F75" s="64">
        <f t="shared" si="14"/>
        <v>0</v>
      </c>
      <c r="G75" s="52">
        <v>1.1875</v>
      </c>
      <c r="H75" s="52">
        <v>0.69205616666666692</v>
      </c>
      <c r="I75" s="24">
        <f t="shared" si="11"/>
        <v>0</v>
      </c>
      <c r="J75" s="24">
        <f t="shared" si="12"/>
        <v>0</v>
      </c>
      <c r="K75" s="24">
        <f t="shared" si="15"/>
        <v>0</v>
      </c>
      <c r="L75" s="24">
        <f t="shared" si="18"/>
        <v>0</v>
      </c>
      <c r="M75" s="24">
        <f t="shared" si="16"/>
        <v>0</v>
      </c>
      <c r="N75" s="3" t="s">
        <v>608</v>
      </c>
      <c r="O75" s="117">
        <v>19</v>
      </c>
      <c r="P75" s="117">
        <v>40</v>
      </c>
      <c r="Q75" s="117" t="s">
        <v>1043</v>
      </c>
      <c r="R75" s="142">
        <v>200000</v>
      </c>
      <c r="S75" s="127">
        <v>1.1428571428571428</v>
      </c>
      <c r="T75" s="9">
        <f t="shared" si="17"/>
        <v>0</v>
      </c>
      <c r="U75" s="9">
        <f>VLOOKUP(A75,[1]!Table1[[Investor]:[Total Amount]],20,FALSE)</f>
        <v>0</v>
      </c>
      <c r="V75" s="9" t="b">
        <f t="shared" si="13"/>
        <v>1</v>
      </c>
      <c r="W75" s="143"/>
    </row>
    <row r="76" spans="1:23">
      <c r="A76" s="122" t="s">
        <v>624</v>
      </c>
      <c r="B76" s="29" t="s">
        <v>68</v>
      </c>
      <c r="C76" s="29" t="s">
        <v>561</v>
      </c>
      <c r="D76" s="9">
        <f>SUMIF(Main_Data_Sales!$B$2:$B$261,'Investor Master Data'!$C76,Main_Data_Sales!$T$2:$T$261)</f>
        <v>0</v>
      </c>
      <c r="E76" s="9">
        <f>SUMIF(Main_Data_Service!$B$2:$B$111,'Investor Master Data'!$C76,Main_Data_Service!$T$2:$T$111)</f>
        <v>0</v>
      </c>
      <c r="F76" s="64">
        <f t="shared" si="14"/>
        <v>0</v>
      </c>
      <c r="G76" s="52">
        <v>1.1230769230769231</v>
      </c>
      <c r="H76" s="52">
        <v>0.68553813207547165</v>
      </c>
      <c r="I76" s="24">
        <f t="shared" si="11"/>
        <v>0</v>
      </c>
      <c r="J76" s="24">
        <f t="shared" si="12"/>
        <v>0</v>
      </c>
      <c r="K76" s="24">
        <f t="shared" si="15"/>
        <v>0</v>
      </c>
      <c r="L76" s="24">
        <f t="shared" si="18"/>
        <v>0</v>
      </c>
      <c r="M76" s="24">
        <f t="shared" si="16"/>
        <v>0</v>
      </c>
      <c r="N76" s="3" t="s">
        <v>608</v>
      </c>
      <c r="O76" s="117">
        <v>73</v>
      </c>
      <c r="P76" s="117">
        <v>154</v>
      </c>
      <c r="Q76" s="117" t="s">
        <v>1043</v>
      </c>
      <c r="R76" s="142">
        <v>840000</v>
      </c>
      <c r="S76" s="127">
        <v>1.3584905660377358</v>
      </c>
      <c r="T76" s="9">
        <f t="shared" si="17"/>
        <v>0</v>
      </c>
      <c r="U76" s="9">
        <f>VLOOKUP(A76,[1]!Table1[[Investor]:[Total Amount]],20,FALSE)</f>
        <v>0</v>
      </c>
      <c r="V76" s="9" t="b">
        <f t="shared" si="13"/>
        <v>1</v>
      </c>
      <c r="W76" s="143"/>
    </row>
    <row r="77" spans="1:23">
      <c r="A77" s="122" t="s">
        <v>730</v>
      </c>
      <c r="B77" s="29" t="s">
        <v>697</v>
      </c>
      <c r="C77" s="29" t="s">
        <v>731</v>
      </c>
      <c r="D77" s="9">
        <f>SUMIF(Main_Data_Sales!$B$2:$B$261,'Investor Master Data'!$C77,Main_Data_Sales!$T$2:$T$261)</f>
        <v>357</v>
      </c>
      <c r="E77" s="9">
        <f>SUMIF(Main_Data_Service!$B$2:$B$111,'Investor Master Data'!$C77,Main_Data_Service!$T$2:$T$111)</f>
        <v>100</v>
      </c>
      <c r="F77" s="64">
        <f t="shared" si="14"/>
        <v>457</v>
      </c>
      <c r="G77" s="52">
        <v>1.223529411764706</v>
      </c>
      <c r="H77" s="52">
        <v>1.6744146882352946</v>
      </c>
      <c r="I77" s="24">
        <f t="shared" si="11"/>
        <v>0</v>
      </c>
      <c r="J77" s="24">
        <f t="shared" si="12"/>
        <v>0</v>
      </c>
      <c r="K77" s="24">
        <f t="shared" si="15"/>
        <v>0</v>
      </c>
      <c r="L77" s="24">
        <f t="shared" si="18"/>
        <v>0</v>
      </c>
      <c r="M77" s="24">
        <f t="shared" si="16"/>
        <v>0</v>
      </c>
      <c r="N77" s="3" t="s">
        <v>609</v>
      </c>
      <c r="O77" s="117">
        <v>104</v>
      </c>
      <c r="P77" s="117">
        <v>253</v>
      </c>
      <c r="Q77" s="117" t="s">
        <v>1043</v>
      </c>
      <c r="R77" s="142">
        <v>1360000</v>
      </c>
      <c r="S77" s="127">
        <v>1.2873563218390804</v>
      </c>
      <c r="T77" s="9">
        <f t="shared" si="17"/>
        <v>0</v>
      </c>
      <c r="U77" s="9">
        <f>VLOOKUP(A77,[1]!Table1[[Investor]:[Total Amount]],20,FALSE)</f>
        <v>0</v>
      </c>
      <c r="V77" s="9" t="b">
        <f t="shared" si="13"/>
        <v>1</v>
      </c>
      <c r="W77" s="143"/>
    </row>
    <row r="78" spans="1:23">
      <c r="A78" s="122" t="s">
        <v>732</v>
      </c>
      <c r="B78" s="29" t="s">
        <v>698</v>
      </c>
      <c r="C78" s="29" t="s">
        <v>725</v>
      </c>
      <c r="D78" s="9">
        <f>SUMIF(Main_Data_Sales!$B$2:$B$261,'Investor Master Data'!$C78,Main_Data_Sales!$T$2:$T$261)</f>
        <v>0</v>
      </c>
      <c r="E78" s="9">
        <f>SUMIF(Main_Data_Service!$B$2:$B$111,'Investor Master Data'!$C78,Main_Data_Service!$T$2:$T$111)</f>
        <v>0</v>
      </c>
      <c r="F78" s="64">
        <f t="shared" si="14"/>
        <v>0</v>
      </c>
      <c r="G78" s="52">
        <v>2.4615384615384617</v>
      </c>
      <c r="H78" s="52">
        <v>1.3159245813953491</v>
      </c>
      <c r="I78" s="24">
        <f t="shared" si="11"/>
        <v>0</v>
      </c>
      <c r="J78" s="24">
        <f t="shared" si="12"/>
        <v>0</v>
      </c>
      <c r="K78" s="24">
        <f t="shared" si="15"/>
        <v>0</v>
      </c>
      <c r="L78" s="24">
        <f t="shared" si="18"/>
        <v>0</v>
      </c>
      <c r="M78" s="24">
        <f t="shared" si="16"/>
        <v>0</v>
      </c>
      <c r="N78" s="3" t="s">
        <v>608</v>
      </c>
      <c r="O78" s="117">
        <v>32</v>
      </c>
      <c r="P78" s="117">
        <v>76</v>
      </c>
      <c r="Q78" s="117" t="s">
        <v>1043</v>
      </c>
      <c r="R78" s="142">
        <v>440000</v>
      </c>
      <c r="S78" s="127">
        <v>1.24</v>
      </c>
      <c r="T78" s="9">
        <f t="shared" si="17"/>
        <v>0</v>
      </c>
      <c r="U78" s="9">
        <f>VLOOKUP(A78,[1]!Table1[[Investor]:[Total Amount]],20,FALSE)</f>
        <v>0</v>
      </c>
      <c r="V78" s="9" t="b">
        <f t="shared" si="13"/>
        <v>1</v>
      </c>
      <c r="W78" s="143"/>
    </row>
    <row r="79" spans="1:23">
      <c r="A79" s="122" t="s">
        <v>734</v>
      </c>
      <c r="B79" s="29" t="s">
        <v>699</v>
      </c>
      <c r="C79" s="29" t="s">
        <v>733</v>
      </c>
      <c r="D79" s="9">
        <f>SUMIF(Main_Data_Sales!$B$2:$B$261,'Investor Master Data'!$C79,Main_Data_Sales!$T$2:$T$261)</f>
        <v>403</v>
      </c>
      <c r="E79" s="9">
        <f>SUMIF(Main_Data_Service!$B$2:$B$111,'Investor Master Data'!$C79,Main_Data_Service!$T$2:$T$111)</f>
        <v>150</v>
      </c>
      <c r="F79" s="64">
        <f t="shared" si="14"/>
        <v>553</v>
      </c>
      <c r="G79" s="52">
        <v>2.8</v>
      </c>
      <c r="H79" s="52">
        <v>1.0529460405405404</v>
      </c>
      <c r="I79" s="24">
        <f t="shared" si="11"/>
        <v>0</v>
      </c>
      <c r="J79" s="24">
        <f t="shared" si="12"/>
        <v>0</v>
      </c>
      <c r="K79" s="24">
        <f t="shared" si="15"/>
        <v>0</v>
      </c>
      <c r="L79" s="24">
        <f t="shared" si="18"/>
        <v>0</v>
      </c>
      <c r="M79" s="24">
        <f t="shared" si="16"/>
        <v>0</v>
      </c>
      <c r="N79" s="3" t="s">
        <v>608</v>
      </c>
      <c r="O79" s="117">
        <v>84</v>
      </c>
      <c r="P79" s="117">
        <v>198</v>
      </c>
      <c r="Q79" s="117" t="s">
        <v>1039</v>
      </c>
      <c r="R79" s="142">
        <v>1200000</v>
      </c>
      <c r="S79" s="127">
        <v>1.3888888888888888</v>
      </c>
      <c r="T79" s="9">
        <f t="shared" si="17"/>
        <v>0</v>
      </c>
      <c r="U79" s="9">
        <f>VLOOKUP(A79,[1]!Table1[[Investor]:[Total Amount]],20,FALSE)</f>
        <v>0</v>
      </c>
      <c r="V79" s="9" t="b">
        <f t="shared" si="13"/>
        <v>1</v>
      </c>
      <c r="W79" s="143"/>
    </row>
    <row r="80" spans="1:23">
      <c r="A80" s="122" t="s">
        <v>736</v>
      </c>
      <c r="B80" s="29" t="s">
        <v>700</v>
      </c>
      <c r="C80" s="29" t="s">
        <v>735</v>
      </c>
      <c r="D80" s="9">
        <f>SUMIF(Main_Data_Sales!$B$2:$B$261,'Investor Master Data'!$C80,Main_Data_Sales!$T$2:$T$261)</f>
        <v>330</v>
      </c>
      <c r="E80" s="9">
        <f>SUMIF(Main_Data_Service!$B$2:$B$111,'Investor Master Data'!$C80,Main_Data_Service!$T$2:$T$111)</f>
        <v>0</v>
      </c>
      <c r="F80" s="64">
        <f t="shared" si="14"/>
        <v>330</v>
      </c>
      <c r="G80" s="52">
        <v>1.1000000000000001</v>
      </c>
      <c r="H80" s="52">
        <v>2.1293773548387085</v>
      </c>
      <c r="I80" s="24">
        <f t="shared" si="11"/>
        <v>0</v>
      </c>
      <c r="J80" s="24">
        <f t="shared" si="12"/>
        <v>0</v>
      </c>
      <c r="K80" s="24">
        <f t="shared" si="15"/>
        <v>0</v>
      </c>
      <c r="L80" s="24">
        <f t="shared" si="18"/>
        <v>0</v>
      </c>
      <c r="M80" s="24">
        <f t="shared" si="16"/>
        <v>0</v>
      </c>
      <c r="N80" s="3" t="s">
        <v>608</v>
      </c>
      <c r="O80" s="117">
        <v>33</v>
      </c>
      <c r="P80" s="117">
        <v>120</v>
      </c>
      <c r="Q80" s="117" t="s">
        <v>1043</v>
      </c>
      <c r="R80" s="142">
        <v>255000</v>
      </c>
      <c r="S80" s="127">
        <v>1.075</v>
      </c>
      <c r="T80" s="9">
        <f t="shared" si="17"/>
        <v>0</v>
      </c>
      <c r="U80" s="9">
        <f>VLOOKUP(A80,[1]!Table1[[Investor]:[Total Amount]],20,FALSE)</f>
        <v>0</v>
      </c>
      <c r="V80" s="9" t="b">
        <f t="shared" si="13"/>
        <v>1</v>
      </c>
      <c r="W80" s="143"/>
    </row>
    <row r="81" spans="1:23">
      <c r="A81" s="122" t="s">
        <v>837</v>
      </c>
      <c r="B81" s="29" t="s">
        <v>829</v>
      </c>
      <c r="C81" s="29" t="s">
        <v>840</v>
      </c>
      <c r="D81" s="9">
        <f>SUMIF(Main_Data_Sales!$B$2:$B$261,'Investor Master Data'!$C81,Main_Data_Sales!$T$2:$T$261)</f>
        <v>0</v>
      </c>
      <c r="E81" s="9">
        <f>SUMIF(Main_Data_Service!$B$2:$B$111,'Investor Master Data'!$C81,Main_Data_Service!$T$2:$T$111)</f>
        <v>180</v>
      </c>
      <c r="F81" s="64">
        <f t="shared" si="14"/>
        <v>180</v>
      </c>
      <c r="G81" s="52">
        <v>1.1162790697674418</v>
      </c>
      <c r="H81" s="52">
        <v>1.7589711269841271</v>
      </c>
      <c r="I81" s="24">
        <f t="shared" ref="I81" si="19">IF(AND(N81="CAT 1",F81&gt;600),450000,IF(AND(N81="CAT 2",F81&gt;600),600000,IF(AND(N81="CAT 3",F81&gt;600),900000,0)))</f>
        <v>0</v>
      </c>
      <c r="J81" s="24">
        <f t="shared" ref="J81" si="20">(IF(AND(F81&gt;600,N81="CAT 1"),7000,IF(AND(F81&gt;600,N81="CAT 2"),7000,IF(AND(F81&gt;600,N81="CAT 3"),6000,0))))*O81*(F81/1000)</f>
        <v>0</v>
      </c>
      <c r="K81" s="24">
        <f t="shared" si="15"/>
        <v>0</v>
      </c>
      <c r="L81" s="24">
        <f t="shared" ref="L81" si="21">SUM(I81:K81)</f>
        <v>0</v>
      </c>
      <c r="M81" s="24">
        <f t="shared" si="16"/>
        <v>0</v>
      </c>
      <c r="N81" s="3" t="s">
        <v>608</v>
      </c>
      <c r="O81" s="117">
        <v>48</v>
      </c>
      <c r="P81" s="117">
        <v>121</v>
      </c>
      <c r="Q81" s="117" t="s">
        <v>1039</v>
      </c>
      <c r="R81" s="142">
        <v>190000</v>
      </c>
      <c r="S81" s="127">
        <v>0.91304347826086951</v>
      </c>
      <c r="T81" s="9">
        <f t="shared" si="17"/>
        <v>0</v>
      </c>
      <c r="U81" s="9">
        <f>VLOOKUP(A81,[1]!Table1[[Investor]:[Total Amount]],20,FALSE)</f>
        <v>0</v>
      </c>
      <c r="V81" s="9" t="b">
        <f t="shared" ref="V81" si="22">T81=U81</f>
        <v>1</v>
      </c>
      <c r="W81" s="143"/>
    </row>
    <row r="82" spans="1:23">
      <c r="A82" s="122" t="s">
        <v>883</v>
      </c>
      <c r="B82" s="29" t="s">
        <v>884</v>
      </c>
      <c r="C82" s="29" t="s">
        <v>888</v>
      </c>
      <c r="D82" s="9">
        <f>SUMIF(Main_Data_Sales!$B$2:$B$261,'Investor Master Data'!$C82,Main_Data_Sales!$T$2:$T$261)</f>
        <v>230</v>
      </c>
      <c r="E82" s="9">
        <f>SUMIF(Main_Data_Service!$B$2:$B$111,'Investor Master Data'!$C82,Main_Data_Service!$T$2:$T$111)</f>
        <v>0</v>
      </c>
      <c r="F82" s="64">
        <f t="shared" si="14"/>
        <v>230</v>
      </c>
      <c r="G82" s="52">
        <v>1.0909090909090908</v>
      </c>
      <c r="H82" s="52">
        <v>0</v>
      </c>
      <c r="I82" s="24">
        <f t="shared" ref="I82:I84" si="23">IF(AND(N82="CAT 1",F82&gt;600),450000,IF(AND(N82="CAT 2",F82&gt;600),600000,IF(AND(N82="CAT 3",F82&gt;600),900000,0)))</f>
        <v>0</v>
      </c>
      <c r="J82" s="24">
        <f t="shared" ref="J82:J84" si="24">(IF(AND(F82&gt;600,N82="CAT 1"),7000,IF(AND(F82&gt;600,N82="CAT 2"),7000,IF(AND(F82&gt;600,N82="CAT 3"),6000,0))))*O82*(F82/1000)</f>
        <v>0</v>
      </c>
      <c r="K82" s="24">
        <f t="shared" si="15"/>
        <v>0</v>
      </c>
      <c r="L82" s="24">
        <f t="shared" ref="L82:L84" si="25">SUM(I82:K82)</f>
        <v>0</v>
      </c>
      <c r="M82" s="24">
        <f t="shared" si="16"/>
        <v>0</v>
      </c>
      <c r="N82" s="3" t="s">
        <v>608</v>
      </c>
      <c r="O82" s="117">
        <v>12</v>
      </c>
      <c r="P82" s="117">
        <v>18</v>
      </c>
      <c r="Q82" s="117" t="s">
        <v>1039</v>
      </c>
      <c r="R82" s="142">
        <v>60000</v>
      </c>
      <c r="S82" s="127">
        <v>1</v>
      </c>
      <c r="T82" s="9">
        <f t="shared" si="17"/>
        <v>0</v>
      </c>
      <c r="U82" s="9">
        <f>VLOOKUP(A82,[1]!Table1[[Investor]:[Total Amount]],20,FALSE)</f>
        <v>0</v>
      </c>
      <c r="V82" s="9" t="b">
        <f t="shared" ref="V82:V84" si="26">T82=U82</f>
        <v>1</v>
      </c>
      <c r="W82" s="143"/>
    </row>
    <row r="83" spans="1:23">
      <c r="A83" s="122" t="s">
        <v>878</v>
      </c>
      <c r="B83" s="29" t="s">
        <v>877</v>
      </c>
      <c r="C83" s="29" t="s">
        <v>887</v>
      </c>
      <c r="D83" s="9">
        <f>SUMIF(Main_Data_Sales!$B$2:$B$261,'Investor Master Data'!$C83,Main_Data_Sales!$T$2:$T$261)</f>
        <v>0</v>
      </c>
      <c r="E83" s="9">
        <f>SUMIF(Main_Data_Service!$B$2:$B$111,'Investor Master Data'!$C83,Main_Data_Service!$T$2:$T$111)</f>
        <v>0</v>
      </c>
      <c r="F83" s="64">
        <f t="shared" si="14"/>
        <v>0</v>
      </c>
      <c r="G83" s="52">
        <v>0.55555555555555558</v>
      </c>
      <c r="H83" s="52">
        <v>0</v>
      </c>
      <c r="I83" s="24">
        <f t="shared" si="23"/>
        <v>0</v>
      </c>
      <c r="J83" s="24">
        <f t="shared" si="24"/>
        <v>0</v>
      </c>
      <c r="K83" s="24">
        <f t="shared" si="15"/>
        <v>0</v>
      </c>
      <c r="L83" s="24">
        <f t="shared" si="25"/>
        <v>0</v>
      </c>
      <c r="M83" s="24">
        <f t="shared" si="16"/>
        <v>0</v>
      </c>
      <c r="N83" s="3" t="s">
        <v>608</v>
      </c>
      <c r="O83" s="117">
        <v>10</v>
      </c>
      <c r="P83" s="117">
        <v>31</v>
      </c>
      <c r="Q83" s="117" t="s">
        <v>1039</v>
      </c>
      <c r="R83" s="142">
        <v>0</v>
      </c>
      <c r="S83" s="127">
        <v>0.41176470588235292</v>
      </c>
      <c r="T83" s="9">
        <f t="shared" si="17"/>
        <v>0</v>
      </c>
      <c r="U83" s="9">
        <f>VLOOKUP(A83,[1]!Table1[[Investor]:[Total Amount]],20,FALSE)</f>
        <v>0</v>
      </c>
      <c r="V83" s="9" t="b">
        <f t="shared" si="26"/>
        <v>1</v>
      </c>
      <c r="W83" s="143"/>
    </row>
    <row r="84" spans="1:23">
      <c r="A84" s="122" t="s">
        <v>1068</v>
      </c>
      <c r="B84" s="29" t="s">
        <v>1069</v>
      </c>
      <c r="C84" s="29" t="s">
        <v>1070</v>
      </c>
      <c r="D84" s="9">
        <f>SUMIF(Main_Data_Sales!$B$2:$B$261,'Investor Master Data'!$C84,Main_Data_Sales!$T$2:$T$261)</f>
        <v>0</v>
      </c>
      <c r="E84" s="9">
        <f>SUMIF(Main_Data_Service!$B$2:$B$111,'Investor Master Data'!$C84,Main_Data_Service!$T$2:$T$111)</f>
        <v>75</v>
      </c>
      <c r="F84" s="64">
        <f t="shared" si="14"/>
        <v>75</v>
      </c>
      <c r="G84" s="52">
        <v>1.588235294117647</v>
      </c>
      <c r="H84" s="52">
        <v>1</v>
      </c>
      <c r="I84" s="24">
        <f t="shared" si="23"/>
        <v>0</v>
      </c>
      <c r="J84" s="24">
        <f t="shared" si="24"/>
        <v>0</v>
      </c>
      <c r="K84" s="24">
        <f t="shared" si="15"/>
        <v>0</v>
      </c>
      <c r="L84" s="24">
        <f t="shared" si="25"/>
        <v>0</v>
      </c>
      <c r="M84" s="24">
        <f t="shared" si="16"/>
        <v>0</v>
      </c>
      <c r="N84" s="3" t="s">
        <v>608</v>
      </c>
      <c r="O84" s="117">
        <v>27</v>
      </c>
      <c r="P84" s="117">
        <v>0</v>
      </c>
      <c r="Q84" s="117" t="s">
        <v>1039</v>
      </c>
      <c r="R84" s="142">
        <v>440000</v>
      </c>
      <c r="S84" s="127">
        <v>1.4736842105263157</v>
      </c>
      <c r="T84" s="9">
        <f t="shared" si="17"/>
        <v>0</v>
      </c>
      <c r="U84" s="9">
        <f>VLOOKUP(A84,[1]!Table1[[Investor]:[Total Amount]],20,FALSE)</f>
        <v>0</v>
      </c>
      <c r="V84" s="9" t="b">
        <f t="shared" si="26"/>
        <v>1</v>
      </c>
    </row>
  </sheetData>
  <autoFilter ref="A3:V84" xr:uid="{E0BD5022-B989-401C-9819-C3159ADC9AF5}"/>
  <mergeCells count="1">
    <mergeCell ref="T2:V2"/>
  </mergeCells>
  <phoneticPr fontId="25" type="noConversion"/>
  <conditionalFormatting sqref="B1:B24 B85:B1048576 B26:B83">
    <cfRule type="duplicateValues" dxfId="178" priority="10"/>
  </conditionalFormatting>
  <conditionalFormatting sqref="A1:A24 A26:A71 A85 A73:A83 A87:A1048576">
    <cfRule type="duplicateValues" dxfId="177" priority="9"/>
  </conditionalFormatting>
  <conditionalFormatting sqref="B4:B24 B26:B83">
    <cfRule type="duplicateValues" dxfId="176" priority="135"/>
  </conditionalFormatting>
  <conditionalFormatting sqref="B84">
    <cfRule type="duplicateValues" dxfId="175" priority="5"/>
  </conditionalFormatting>
  <conditionalFormatting sqref="A84">
    <cfRule type="duplicateValues" dxfId="174" priority="4"/>
  </conditionalFormatting>
  <conditionalFormatting sqref="B84">
    <cfRule type="duplicateValues" dxfId="173" priority="6"/>
  </conditionalFormatting>
  <conditionalFormatting sqref="B25">
    <cfRule type="duplicateValues" dxfId="172" priority="2"/>
  </conditionalFormatting>
  <conditionalFormatting sqref="A25">
    <cfRule type="duplicateValues" dxfId="171" priority="1"/>
  </conditionalFormatting>
  <conditionalFormatting sqref="B25">
    <cfRule type="duplicateValues" dxfId="170" priority="3"/>
  </conditionalFormatting>
  <pageMargins left="0.7" right="0.7" top="0.75" bottom="0.75" header="0.3" footer="0.3"/>
  <headerFooter>
    <oddHeader>&amp;L&amp;"Arial"&amp;8&amp;K000000 INTERNAL&amp;1#_x000D_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F606-F96C-481B-AFF9-61EA725E8BF8}">
  <sheetPr codeName="Sheet4"/>
  <dimension ref="A1:AB261"/>
  <sheetViews>
    <sheetView showGridLines="0" zoomScale="91" zoomScaleNormal="140" workbookViewId="0">
      <selection activeCell="C58" sqref="C58"/>
    </sheetView>
  </sheetViews>
  <sheetFormatPr defaultRowHeight="13.8"/>
  <cols>
    <col min="1" max="1" width="17.69921875" bestFit="1" customWidth="1"/>
    <col min="2" max="2" width="45.5" customWidth="1"/>
    <col min="3" max="3" width="35.19921875" customWidth="1"/>
    <col min="4" max="4" width="19" customWidth="1"/>
    <col min="5" max="5" width="8.796875" customWidth="1"/>
    <col min="6" max="6" width="5.796875" customWidth="1"/>
    <col min="7" max="7" width="17.69921875" customWidth="1"/>
    <col min="8" max="8" width="19.5" customWidth="1"/>
    <col min="9" max="9" width="13.69921875" customWidth="1"/>
    <col min="10" max="17" width="20.09765625" customWidth="1"/>
    <col min="18" max="19" width="13.5" customWidth="1"/>
    <col min="20" max="20" width="20.09765625" customWidth="1"/>
    <col min="21" max="25" width="15.69921875" customWidth="1"/>
    <col min="26" max="26" width="25.796875" bestFit="1" customWidth="1"/>
    <col min="27" max="27" width="9.5" customWidth="1"/>
    <col min="28" max="28" width="15.69921875" customWidth="1"/>
  </cols>
  <sheetData>
    <row r="1" spans="1:28">
      <c r="I1" s="1" t="s">
        <v>475</v>
      </c>
      <c r="J1" s="1">
        <v>100</v>
      </c>
      <c r="K1" s="1">
        <v>100</v>
      </c>
      <c r="L1" s="1">
        <v>50</v>
      </c>
      <c r="M1" s="1">
        <v>50</v>
      </c>
      <c r="N1" s="1">
        <v>100</v>
      </c>
      <c r="O1" s="1">
        <v>100</v>
      </c>
      <c r="P1" s="1">
        <f>SUM(J1:O1)</f>
        <v>500</v>
      </c>
      <c r="S1" s="1"/>
      <c r="T1" s="1"/>
      <c r="U1" s="1"/>
      <c r="V1" s="1"/>
      <c r="W1" s="1"/>
      <c r="AA1" s="1"/>
      <c r="AB1" s="1"/>
    </row>
    <row r="2" spans="1:28" ht="22.8">
      <c r="A2" s="4" t="s">
        <v>769</v>
      </c>
      <c r="B2" s="4" t="s">
        <v>194</v>
      </c>
      <c r="C2" s="4" t="s">
        <v>0</v>
      </c>
      <c r="D2" s="4" t="s">
        <v>72</v>
      </c>
      <c r="E2" s="4" t="s">
        <v>70</v>
      </c>
      <c r="F2" s="4" t="s">
        <v>195</v>
      </c>
      <c r="G2" s="4" t="s">
        <v>198</v>
      </c>
      <c r="H2" s="4" t="s">
        <v>199</v>
      </c>
      <c r="I2" s="4" t="s">
        <v>457</v>
      </c>
      <c r="J2" s="4" t="s">
        <v>470</v>
      </c>
      <c r="K2" s="4" t="s">
        <v>471</v>
      </c>
      <c r="L2" s="4" t="s">
        <v>472</v>
      </c>
      <c r="M2" s="4" t="s">
        <v>473</v>
      </c>
      <c r="N2" s="4" t="s">
        <v>582</v>
      </c>
      <c r="O2" s="4" t="s">
        <v>474</v>
      </c>
      <c r="P2" s="4" t="s">
        <v>504</v>
      </c>
      <c r="Q2" s="4" t="s">
        <v>575</v>
      </c>
      <c r="R2" s="4" t="s">
        <v>577</v>
      </c>
      <c r="S2" s="4" t="s">
        <v>579</v>
      </c>
      <c r="T2" s="4" t="s">
        <v>595</v>
      </c>
      <c r="U2" s="4" t="s">
        <v>506</v>
      </c>
      <c r="V2" s="4" t="s">
        <v>773</v>
      </c>
      <c r="W2" s="4" t="s">
        <v>684</v>
      </c>
      <c r="X2" s="4" t="s">
        <v>1038</v>
      </c>
      <c r="Y2" s="4" t="s">
        <v>686</v>
      </c>
      <c r="Z2" s="4" t="s">
        <v>1090</v>
      </c>
      <c r="AA2" s="4"/>
      <c r="AB2" s="4" t="s">
        <v>879</v>
      </c>
    </row>
    <row r="3" spans="1:28">
      <c r="A3" s="6" t="s">
        <v>660</v>
      </c>
      <c r="B3" s="6" t="str">
        <f t="shared" ref="B3:B62" si="0">_xlfn.CONCAT(C3,E3)</f>
        <v>(Regent) Tejpal Motors Pvt. Ltd.1758</v>
      </c>
      <c r="C3" s="6" t="s">
        <v>1</v>
      </c>
      <c r="D3" s="5">
        <v>10391</v>
      </c>
      <c r="E3" s="5">
        <v>1758</v>
      </c>
      <c r="F3" s="3" t="s">
        <v>889</v>
      </c>
      <c r="G3" s="3" t="s">
        <v>891</v>
      </c>
      <c r="H3" s="3" t="s">
        <v>200</v>
      </c>
      <c r="I3" s="3" t="s">
        <v>458</v>
      </c>
      <c r="J3" s="9">
        <v>100</v>
      </c>
      <c r="K3" s="9">
        <v>100</v>
      </c>
      <c r="L3" s="9">
        <v>50</v>
      </c>
      <c r="M3" s="9">
        <v>0</v>
      </c>
      <c r="N3" s="9">
        <v>100</v>
      </c>
      <c r="O3" s="9">
        <v>100</v>
      </c>
      <c r="P3" s="9">
        <f>IF(AND(V3="3S",OR(X3&lt;0.895,Z3&lt;4.595,R3&lt;4.695,Y3&lt;0.895)),0,IF(AND(V3="1S",OR(X3&lt;0.895,Z3&lt;4.595,R3&lt;4.695)),0,SUM(J3:O3)))</f>
        <v>450</v>
      </c>
      <c r="Q3" s="18">
        <v>0.31818181818181818</v>
      </c>
      <c r="R3" s="116">
        <v>4.8</v>
      </c>
      <c r="S3" s="19" t="str">
        <f t="shared" ref="S3:S59" si="1">_xlfn.CONCAT(D3," (",TEXT(Q3,"0%"),")")</f>
        <v>10391 (32%)</v>
      </c>
      <c r="T3" s="9">
        <f>ROUND((P3*Q3),0)</f>
        <v>143</v>
      </c>
      <c r="U3" s="20" t="s">
        <v>1043</v>
      </c>
      <c r="V3" s="126" t="s">
        <v>1044</v>
      </c>
      <c r="W3" s="20" t="s">
        <v>1041</v>
      </c>
      <c r="X3" s="18">
        <v>1.3488372093023255</v>
      </c>
      <c r="Y3" s="18">
        <v>1.0905091707940178</v>
      </c>
      <c r="Z3" s="116">
        <v>4.88</v>
      </c>
      <c r="AA3" s="18"/>
      <c r="AB3" s="75"/>
    </row>
    <row r="4" spans="1:28">
      <c r="A4" s="6" t="s">
        <v>660</v>
      </c>
      <c r="B4" s="6" t="str">
        <f t="shared" si="0"/>
        <v>(Regent) Tejpal Motors Pvt. Ltd.1758</v>
      </c>
      <c r="C4" s="6" t="s">
        <v>1</v>
      </c>
      <c r="D4" s="6">
        <v>10380</v>
      </c>
      <c r="E4" s="5">
        <v>1758</v>
      </c>
      <c r="F4" s="3" t="s">
        <v>889</v>
      </c>
      <c r="G4" s="3" t="s">
        <v>201</v>
      </c>
      <c r="H4" s="3" t="s">
        <v>892</v>
      </c>
      <c r="I4" s="3" t="s">
        <v>458</v>
      </c>
      <c r="J4" s="9">
        <v>100</v>
      </c>
      <c r="K4" s="9">
        <v>100</v>
      </c>
      <c r="L4" s="9">
        <v>50</v>
      </c>
      <c r="M4" s="9">
        <v>0</v>
      </c>
      <c r="N4" s="9">
        <v>80</v>
      </c>
      <c r="O4" s="9">
        <v>80</v>
      </c>
      <c r="P4" s="9">
        <f t="shared" ref="P4:P67" si="2">IF(AND(V4="3S",OR(X4&lt;0.895,Z4&lt;4.595,R4&lt;4.695,Y4&lt;0.895)),0,IF(AND(V4="1S",OR(X4&lt;0.895,Z4&lt;4.595,R4&lt;4.695)),0,SUM(J4:O4)))</f>
        <v>410</v>
      </c>
      <c r="Q4" s="18">
        <v>0.53787878787878785</v>
      </c>
      <c r="R4" s="116">
        <v>4.8</v>
      </c>
      <c r="S4" s="19" t="str">
        <f t="shared" si="1"/>
        <v>10380 (54%)</v>
      </c>
      <c r="T4" s="9">
        <f t="shared" ref="T4:T64" si="3">ROUND((P4*Q4),0)</f>
        <v>221</v>
      </c>
      <c r="U4" s="20" t="s">
        <v>1043</v>
      </c>
      <c r="V4" s="126" t="s">
        <v>1044</v>
      </c>
      <c r="W4" s="20" t="s">
        <v>1041</v>
      </c>
      <c r="X4" s="18">
        <v>1.3488372093023255</v>
      </c>
      <c r="Y4" s="18">
        <v>1.0905091707940178</v>
      </c>
      <c r="Z4" s="116">
        <v>4.79</v>
      </c>
      <c r="AA4" s="18"/>
      <c r="AB4" s="75"/>
    </row>
    <row r="5" spans="1:28">
      <c r="A5" s="6" t="s">
        <v>660</v>
      </c>
      <c r="B5" s="6" t="str">
        <f t="shared" si="0"/>
        <v>(Regent) Tejpal Motors Pvt. Ltd.1758</v>
      </c>
      <c r="C5" s="6" t="s">
        <v>1</v>
      </c>
      <c r="D5" s="6" t="s">
        <v>73</v>
      </c>
      <c r="E5" s="5">
        <v>1758</v>
      </c>
      <c r="F5" s="3" t="s">
        <v>889</v>
      </c>
      <c r="G5" s="3" t="s">
        <v>893</v>
      </c>
      <c r="H5" s="3" t="s">
        <v>202</v>
      </c>
      <c r="I5" s="3" t="s">
        <v>458</v>
      </c>
      <c r="J5" s="9">
        <v>100</v>
      </c>
      <c r="K5" s="9">
        <v>100</v>
      </c>
      <c r="L5" s="9">
        <v>50</v>
      </c>
      <c r="M5" s="9">
        <v>0</v>
      </c>
      <c r="N5" s="9">
        <v>100</v>
      </c>
      <c r="O5" s="9">
        <v>0</v>
      </c>
      <c r="P5" s="9">
        <f t="shared" si="2"/>
        <v>350</v>
      </c>
      <c r="Q5" s="18">
        <v>0.14393939393939395</v>
      </c>
      <c r="R5" s="116">
        <v>4.9000000000000004</v>
      </c>
      <c r="S5" s="19" t="str">
        <f t="shared" si="1"/>
        <v>1038001A (14%)</v>
      </c>
      <c r="T5" s="9">
        <f t="shared" si="3"/>
        <v>50</v>
      </c>
      <c r="U5" s="20" t="s">
        <v>1043</v>
      </c>
      <c r="V5" s="126" t="s">
        <v>1045</v>
      </c>
      <c r="W5" s="20" t="s">
        <v>1055</v>
      </c>
      <c r="X5" s="18">
        <v>1.3488372093023255</v>
      </c>
      <c r="Y5" s="18" t="s">
        <v>1066</v>
      </c>
      <c r="Z5" s="116">
        <v>4.87</v>
      </c>
      <c r="AA5" s="18"/>
      <c r="AB5" s="75"/>
    </row>
    <row r="6" spans="1:28">
      <c r="A6" s="6" t="s">
        <v>622</v>
      </c>
      <c r="B6" s="6" t="str">
        <f t="shared" si="0"/>
        <v>(Trinity) Durgesh Motors Pvt. Ltd. 4496</v>
      </c>
      <c r="C6" s="6" t="s">
        <v>2</v>
      </c>
      <c r="D6" s="5">
        <v>10296</v>
      </c>
      <c r="E6" s="5">
        <v>4496</v>
      </c>
      <c r="F6" s="3" t="s">
        <v>890</v>
      </c>
      <c r="G6" s="3" t="s">
        <v>203</v>
      </c>
      <c r="H6" s="3" t="s">
        <v>204</v>
      </c>
      <c r="I6" s="3" t="s">
        <v>459</v>
      </c>
      <c r="J6" s="9">
        <v>100</v>
      </c>
      <c r="K6" s="9">
        <v>100</v>
      </c>
      <c r="L6" s="9">
        <v>0</v>
      </c>
      <c r="M6" s="9">
        <v>50</v>
      </c>
      <c r="N6" s="9">
        <v>100</v>
      </c>
      <c r="O6" s="9">
        <v>80</v>
      </c>
      <c r="P6" s="9">
        <f t="shared" si="2"/>
        <v>430</v>
      </c>
      <c r="Q6" s="18">
        <v>0.65753424657534243</v>
      </c>
      <c r="R6" s="116">
        <v>4.7</v>
      </c>
      <c r="S6" s="19" t="str">
        <f t="shared" si="1"/>
        <v>10296 (66%)</v>
      </c>
      <c r="T6" s="9">
        <f t="shared" si="3"/>
        <v>283</v>
      </c>
      <c r="U6" s="20" t="s">
        <v>1043</v>
      </c>
      <c r="V6" s="126" t="s">
        <v>1044</v>
      </c>
      <c r="W6" s="20" t="s">
        <v>1040</v>
      </c>
      <c r="X6" s="18">
        <v>0.92380952380952386</v>
      </c>
      <c r="Y6" s="18">
        <v>1.0563621916932906</v>
      </c>
      <c r="Z6" s="116">
        <v>4.8499999999999996</v>
      </c>
      <c r="AA6" s="18"/>
      <c r="AB6" s="75"/>
    </row>
    <row r="7" spans="1:28">
      <c r="A7" s="6" t="s">
        <v>622</v>
      </c>
      <c r="B7" s="6" t="str">
        <f t="shared" si="0"/>
        <v>(Trinity) Durgesh Motors Pvt. Ltd. 4496</v>
      </c>
      <c r="C7" s="6" t="s">
        <v>2</v>
      </c>
      <c r="D7" s="5" t="s">
        <v>74</v>
      </c>
      <c r="E7" s="5">
        <v>4496</v>
      </c>
      <c r="F7" s="3" t="s">
        <v>890</v>
      </c>
      <c r="G7" s="3" t="s">
        <v>205</v>
      </c>
      <c r="H7" s="3" t="s">
        <v>206</v>
      </c>
      <c r="I7" s="3" t="s">
        <v>459</v>
      </c>
      <c r="J7" s="9">
        <v>0</v>
      </c>
      <c r="K7" s="9">
        <v>100</v>
      </c>
      <c r="L7" s="9">
        <v>0</v>
      </c>
      <c r="M7" s="9">
        <v>50</v>
      </c>
      <c r="N7" s="9">
        <v>100</v>
      </c>
      <c r="O7" s="9">
        <v>80</v>
      </c>
      <c r="P7" s="9">
        <f t="shared" si="2"/>
        <v>330</v>
      </c>
      <c r="Q7" s="18">
        <v>0.1095890410958904</v>
      </c>
      <c r="R7" s="116">
        <v>4.7</v>
      </c>
      <c r="S7" s="19" t="str">
        <f t="shared" si="1"/>
        <v>1029602A (11%)</v>
      </c>
      <c r="T7" s="9">
        <f t="shared" si="3"/>
        <v>36</v>
      </c>
      <c r="U7" s="20" t="s">
        <v>1043</v>
      </c>
      <c r="V7" s="126" t="s">
        <v>1045</v>
      </c>
      <c r="W7" s="20" t="s">
        <v>1055</v>
      </c>
      <c r="X7" s="18">
        <v>0.92380952380952386</v>
      </c>
      <c r="Y7" s="18" t="s">
        <v>1066</v>
      </c>
      <c r="Z7" s="116">
        <v>5</v>
      </c>
      <c r="AA7" s="18"/>
      <c r="AB7" s="75"/>
    </row>
    <row r="8" spans="1:28">
      <c r="A8" s="6" t="s">
        <v>622</v>
      </c>
      <c r="B8" s="6" t="str">
        <f t="shared" si="0"/>
        <v>(Trinity) Durgesh Motors Pvt. Ltd. 4496</v>
      </c>
      <c r="C8" s="6" t="s">
        <v>2</v>
      </c>
      <c r="D8" s="5" t="s">
        <v>75</v>
      </c>
      <c r="E8" s="5">
        <v>4496</v>
      </c>
      <c r="F8" s="3" t="s">
        <v>890</v>
      </c>
      <c r="G8" s="3" t="s">
        <v>207</v>
      </c>
      <c r="H8" s="3" t="s">
        <v>207</v>
      </c>
      <c r="I8" s="3" t="s">
        <v>459</v>
      </c>
      <c r="J8" s="9">
        <v>0</v>
      </c>
      <c r="K8" s="9">
        <v>0</v>
      </c>
      <c r="L8" s="9">
        <v>0</v>
      </c>
      <c r="M8" s="9">
        <v>50</v>
      </c>
      <c r="N8" s="9">
        <v>100</v>
      </c>
      <c r="O8" s="9">
        <v>0</v>
      </c>
      <c r="P8" s="9">
        <f t="shared" si="2"/>
        <v>150</v>
      </c>
      <c r="Q8" s="18">
        <v>0.1095890410958904</v>
      </c>
      <c r="R8" s="116">
        <v>4.7</v>
      </c>
      <c r="S8" s="19" t="str">
        <f t="shared" si="1"/>
        <v>1029601A (11%)</v>
      </c>
      <c r="T8" s="9">
        <f t="shared" si="3"/>
        <v>16</v>
      </c>
      <c r="U8" s="20" t="s">
        <v>1043</v>
      </c>
      <c r="V8" s="126" t="s">
        <v>1044</v>
      </c>
      <c r="W8" s="20" t="s">
        <v>1056</v>
      </c>
      <c r="X8" s="18">
        <v>0.92380952380952386</v>
      </c>
      <c r="Y8" s="18">
        <v>1.0563621916932906</v>
      </c>
      <c r="Z8" s="116">
        <v>5</v>
      </c>
      <c r="AA8" s="18"/>
      <c r="AB8" s="75"/>
    </row>
    <row r="9" spans="1:28">
      <c r="A9" s="6" t="s">
        <v>612</v>
      </c>
      <c r="B9" s="6" t="str">
        <f t="shared" si="0"/>
        <v>Akoya Motors Pvt Ltd4357</v>
      </c>
      <c r="C9" s="6" t="s">
        <v>3</v>
      </c>
      <c r="D9" s="6" t="s">
        <v>76</v>
      </c>
      <c r="E9" s="5">
        <v>4357</v>
      </c>
      <c r="F9" s="3" t="s">
        <v>889</v>
      </c>
      <c r="G9" s="3" t="s">
        <v>894</v>
      </c>
      <c r="H9" s="3" t="s">
        <v>208</v>
      </c>
      <c r="I9" s="3" t="s">
        <v>458</v>
      </c>
      <c r="J9" s="9">
        <v>100</v>
      </c>
      <c r="K9" s="9">
        <v>80</v>
      </c>
      <c r="L9" s="9">
        <v>40</v>
      </c>
      <c r="M9" s="9">
        <v>40</v>
      </c>
      <c r="N9" s="9">
        <v>80</v>
      </c>
      <c r="O9" s="9">
        <v>80</v>
      </c>
      <c r="P9" s="9">
        <f t="shared" si="2"/>
        <v>420</v>
      </c>
      <c r="Q9" s="18">
        <v>0.21965317919075145</v>
      </c>
      <c r="R9" s="116">
        <v>4.7</v>
      </c>
      <c r="S9" s="19" t="str">
        <f t="shared" si="1"/>
        <v>1030201A (22%)</v>
      </c>
      <c r="T9" s="9">
        <f t="shared" si="3"/>
        <v>92</v>
      </c>
      <c r="U9" s="20" t="s">
        <v>1043</v>
      </c>
      <c r="V9" s="126" t="s">
        <v>1045</v>
      </c>
      <c r="W9" s="20" t="s">
        <v>1055</v>
      </c>
      <c r="X9" s="18">
        <v>1.1269035532994924</v>
      </c>
      <c r="Y9" s="18" t="s">
        <v>1066</v>
      </c>
      <c r="Z9" s="116">
        <v>4.72</v>
      </c>
      <c r="AA9" s="18"/>
      <c r="AB9" s="75"/>
    </row>
    <row r="10" spans="1:28">
      <c r="A10" s="6" t="s">
        <v>612</v>
      </c>
      <c r="B10" s="6" t="str">
        <f t="shared" si="0"/>
        <v>Akoya Motors Pvt Ltd4357</v>
      </c>
      <c r="C10" s="6" t="s">
        <v>3</v>
      </c>
      <c r="D10" s="6" t="s">
        <v>77</v>
      </c>
      <c r="E10" s="5">
        <v>4357</v>
      </c>
      <c r="F10" s="3" t="s">
        <v>889</v>
      </c>
      <c r="G10" s="3" t="s">
        <v>209</v>
      </c>
      <c r="H10" s="3" t="s">
        <v>208</v>
      </c>
      <c r="I10" s="3" t="s">
        <v>458</v>
      </c>
      <c r="J10" s="9">
        <v>100</v>
      </c>
      <c r="K10" s="9">
        <v>0</v>
      </c>
      <c r="L10" s="9">
        <v>40</v>
      </c>
      <c r="M10" s="9">
        <v>40</v>
      </c>
      <c r="N10" s="9">
        <v>80</v>
      </c>
      <c r="O10" s="9">
        <v>0</v>
      </c>
      <c r="P10" s="9">
        <f t="shared" si="2"/>
        <v>260</v>
      </c>
      <c r="Q10" s="18">
        <v>0.2138728323699422</v>
      </c>
      <c r="R10" s="116">
        <v>4.9000000000000004</v>
      </c>
      <c r="S10" s="19" t="str">
        <f t="shared" si="1"/>
        <v>1030202A (21%)</v>
      </c>
      <c r="T10" s="9">
        <f t="shared" si="3"/>
        <v>56</v>
      </c>
      <c r="U10" s="20" t="s">
        <v>1043</v>
      </c>
      <c r="V10" s="126" t="s">
        <v>1044</v>
      </c>
      <c r="W10" s="20" t="s">
        <v>1056</v>
      </c>
      <c r="X10" s="18">
        <v>1.1269035532994924</v>
      </c>
      <c r="Y10" s="18">
        <v>1.2942937522123859</v>
      </c>
      <c r="Z10" s="116">
        <v>4.72</v>
      </c>
      <c r="AA10" s="18"/>
      <c r="AB10" s="75"/>
    </row>
    <row r="11" spans="1:28">
      <c r="A11" s="6" t="s">
        <v>612</v>
      </c>
      <c r="B11" s="6" t="str">
        <f t="shared" si="0"/>
        <v>Akoya Motors Pvt Ltd4357</v>
      </c>
      <c r="C11" s="6" t="s">
        <v>3</v>
      </c>
      <c r="D11" s="5">
        <v>10302</v>
      </c>
      <c r="E11" s="5">
        <v>4357</v>
      </c>
      <c r="F11" s="3" t="s">
        <v>889</v>
      </c>
      <c r="G11" s="3" t="s">
        <v>210</v>
      </c>
      <c r="H11" s="3" t="s">
        <v>208</v>
      </c>
      <c r="I11" s="3" t="s">
        <v>458</v>
      </c>
      <c r="J11" s="9">
        <v>100</v>
      </c>
      <c r="K11" s="9">
        <v>100</v>
      </c>
      <c r="L11" s="9">
        <v>40</v>
      </c>
      <c r="M11" s="9">
        <v>40</v>
      </c>
      <c r="N11" s="9">
        <v>80</v>
      </c>
      <c r="O11" s="9">
        <v>0</v>
      </c>
      <c r="P11" s="9">
        <f t="shared" si="2"/>
        <v>0</v>
      </c>
      <c r="Q11" s="18">
        <v>0.56647398843930641</v>
      </c>
      <c r="R11" s="116">
        <v>4.5999999999999996</v>
      </c>
      <c r="S11" s="19" t="str">
        <f t="shared" si="1"/>
        <v>10302 (57%)</v>
      </c>
      <c r="T11" s="9">
        <f t="shared" si="3"/>
        <v>0</v>
      </c>
      <c r="U11" s="20" t="s">
        <v>1043</v>
      </c>
      <c r="V11" s="126" t="s">
        <v>1044</v>
      </c>
      <c r="W11" s="20" t="s">
        <v>1040</v>
      </c>
      <c r="X11" s="18">
        <v>1.1269035532994924</v>
      </c>
      <c r="Y11" s="18">
        <v>1.2942937522123859</v>
      </c>
      <c r="Z11" s="116">
        <v>4.71</v>
      </c>
      <c r="AA11" s="18"/>
      <c r="AB11" s="75"/>
    </row>
    <row r="12" spans="1:28">
      <c r="A12" s="6" t="s">
        <v>613</v>
      </c>
      <c r="B12" s="6" t="str">
        <f t="shared" si="0"/>
        <v>Ananya Sales Pvt Ltd2767</v>
      </c>
      <c r="C12" s="6" t="s">
        <v>4</v>
      </c>
      <c r="D12" s="3">
        <v>10379</v>
      </c>
      <c r="E12" s="5">
        <v>2767</v>
      </c>
      <c r="F12" s="3" t="s">
        <v>889</v>
      </c>
      <c r="G12" s="3" t="s">
        <v>895</v>
      </c>
      <c r="H12" s="3" t="s">
        <v>211</v>
      </c>
      <c r="I12" s="3" t="s">
        <v>460</v>
      </c>
      <c r="J12" s="9">
        <v>0</v>
      </c>
      <c r="K12" s="9">
        <v>0</v>
      </c>
      <c r="L12" s="9">
        <v>0</v>
      </c>
      <c r="M12" s="9">
        <v>0</v>
      </c>
      <c r="N12" s="9">
        <v>80</v>
      </c>
      <c r="O12" s="9">
        <v>100</v>
      </c>
      <c r="P12" s="9">
        <f t="shared" si="2"/>
        <v>0</v>
      </c>
      <c r="Q12" s="18">
        <v>1</v>
      </c>
      <c r="R12" s="116">
        <v>4.8</v>
      </c>
      <c r="S12" s="19" t="str">
        <f t="shared" si="1"/>
        <v>10379 (100%)</v>
      </c>
      <c r="T12" s="9">
        <f t="shared" si="3"/>
        <v>0</v>
      </c>
      <c r="U12" s="20" t="s">
        <v>1043</v>
      </c>
      <c r="V12" s="126" t="s">
        <v>1044</v>
      </c>
      <c r="W12" s="20" t="s">
        <v>1041</v>
      </c>
      <c r="X12" s="18">
        <v>0.88888888888888884</v>
      </c>
      <c r="Y12" s="18">
        <v>0.5600891134020618</v>
      </c>
      <c r="Z12" s="116">
        <v>4.71</v>
      </c>
      <c r="AA12" s="18"/>
      <c r="AB12" s="75"/>
    </row>
    <row r="13" spans="1:28">
      <c r="A13" s="6" t="s">
        <v>614</v>
      </c>
      <c r="B13" s="6" t="str">
        <f t="shared" si="0"/>
        <v>Aura Motors Pvt. Ltd + Maverick Motors 3616</v>
      </c>
      <c r="C13" s="8" t="s">
        <v>5</v>
      </c>
      <c r="D13" s="5">
        <v>10211</v>
      </c>
      <c r="E13" s="5">
        <v>3616</v>
      </c>
      <c r="F13" s="3" t="s">
        <v>890</v>
      </c>
      <c r="G13" s="3" t="s">
        <v>213</v>
      </c>
      <c r="H13" s="3" t="s">
        <v>213</v>
      </c>
      <c r="I13" s="3" t="s">
        <v>462</v>
      </c>
      <c r="J13" s="9" t="s">
        <v>587</v>
      </c>
      <c r="K13" s="9" t="s">
        <v>587</v>
      </c>
      <c r="L13" s="9" t="s">
        <v>587</v>
      </c>
      <c r="M13" s="9" t="s">
        <v>587</v>
      </c>
      <c r="N13" s="9" t="s">
        <v>587</v>
      </c>
      <c r="O13" s="9" t="s">
        <v>587</v>
      </c>
      <c r="P13" s="9">
        <f t="shared" si="2"/>
        <v>0</v>
      </c>
      <c r="Q13" s="18">
        <v>0</v>
      </c>
      <c r="R13" s="116">
        <v>0</v>
      </c>
      <c r="S13" s="19" t="str">
        <f t="shared" si="1"/>
        <v>10211 (0%)</v>
      </c>
      <c r="T13" s="9">
        <f t="shared" si="3"/>
        <v>0</v>
      </c>
      <c r="U13" s="20" t="s">
        <v>1043</v>
      </c>
      <c r="V13" s="126" t="s">
        <v>1044</v>
      </c>
      <c r="W13" s="20" t="s">
        <v>1040</v>
      </c>
      <c r="X13" s="18">
        <v>0</v>
      </c>
      <c r="Y13" s="18">
        <v>0</v>
      </c>
      <c r="Z13" s="116">
        <v>0</v>
      </c>
      <c r="AA13" s="18"/>
      <c r="AB13" s="75"/>
    </row>
    <row r="14" spans="1:28">
      <c r="A14" s="6" t="s">
        <v>614</v>
      </c>
      <c r="B14" s="6" t="str">
        <f t="shared" si="0"/>
        <v>Aura Motors Pvt. Ltd + Maverick Motors 3616</v>
      </c>
      <c r="C14" s="8" t="s">
        <v>5</v>
      </c>
      <c r="D14" s="6" t="s">
        <v>78</v>
      </c>
      <c r="E14" s="5">
        <v>3616</v>
      </c>
      <c r="F14" s="3" t="s">
        <v>890</v>
      </c>
      <c r="G14" s="3" t="s">
        <v>214</v>
      </c>
      <c r="H14" s="3" t="s">
        <v>215</v>
      </c>
      <c r="I14" s="3" t="s">
        <v>462</v>
      </c>
      <c r="J14" s="9" t="s">
        <v>587</v>
      </c>
      <c r="K14" s="9" t="s">
        <v>587</v>
      </c>
      <c r="L14" s="9" t="s">
        <v>587</v>
      </c>
      <c r="M14" s="9" t="s">
        <v>587</v>
      </c>
      <c r="N14" s="9" t="s">
        <v>587</v>
      </c>
      <c r="O14" s="9" t="s">
        <v>587</v>
      </c>
      <c r="P14" s="9">
        <f t="shared" si="2"/>
        <v>0</v>
      </c>
      <c r="Q14" s="18">
        <v>0</v>
      </c>
      <c r="R14" s="116">
        <v>0</v>
      </c>
      <c r="S14" s="19" t="str">
        <f t="shared" si="1"/>
        <v>1021101C (0%)</v>
      </c>
      <c r="T14" s="9">
        <f t="shared" si="3"/>
        <v>0</v>
      </c>
      <c r="U14" s="20" t="s">
        <v>1043</v>
      </c>
      <c r="V14" s="126" t="s">
        <v>1044</v>
      </c>
      <c r="W14" s="20" t="s">
        <v>1057</v>
      </c>
      <c r="X14" s="18">
        <v>0</v>
      </c>
      <c r="Y14" s="18">
        <v>0</v>
      </c>
      <c r="Z14" s="116">
        <v>0</v>
      </c>
      <c r="AA14" s="18"/>
      <c r="AB14" s="75"/>
    </row>
    <row r="15" spans="1:28">
      <c r="A15" s="6" t="s">
        <v>616</v>
      </c>
      <c r="B15" s="6" t="str">
        <f t="shared" si="0"/>
        <v>Avya Automobiles Pvt. Ltd.3530</v>
      </c>
      <c r="C15" s="6" t="s">
        <v>6</v>
      </c>
      <c r="D15" s="5">
        <v>10365</v>
      </c>
      <c r="E15" s="5">
        <v>3530</v>
      </c>
      <c r="F15" s="3" t="s">
        <v>890</v>
      </c>
      <c r="G15" s="3" t="s">
        <v>896</v>
      </c>
      <c r="H15" s="3" t="s">
        <v>218</v>
      </c>
      <c r="I15" s="3" t="s">
        <v>463</v>
      </c>
      <c r="J15" s="9">
        <v>80</v>
      </c>
      <c r="K15" s="9">
        <v>80</v>
      </c>
      <c r="L15" s="9">
        <v>0</v>
      </c>
      <c r="M15" s="9">
        <v>0</v>
      </c>
      <c r="N15" s="9">
        <v>100</v>
      </c>
      <c r="O15" s="9">
        <v>0</v>
      </c>
      <c r="P15" s="9">
        <f t="shared" si="2"/>
        <v>260</v>
      </c>
      <c r="Q15" s="18">
        <v>0.6376811594202898</v>
      </c>
      <c r="R15" s="116">
        <v>5</v>
      </c>
      <c r="S15" s="19" t="str">
        <f t="shared" si="1"/>
        <v>10365 (64%)</v>
      </c>
      <c r="T15" s="9">
        <f t="shared" si="3"/>
        <v>166</v>
      </c>
      <c r="U15" s="20" t="s">
        <v>1043</v>
      </c>
      <c r="V15" s="126" t="s">
        <v>1044</v>
      </c>
      <c r="W15" s="20" t="s">
        <v>1041</v>
      </c>
      <c r="X15" s="18">
        <v>1.0125</v>
      </c>
      <c r="Y15" s="18">
        <v>1.012234813380283</v>
      </c>
      <c r="Z15" s="116">
        <v>5</v>
      </c>
      <c r="AA15" s="18"/>
      <c r="AB15" s="75"/>
    </row>
    <row r="16" spans="1:28">
      <c r="A16" s="6" t="s">
        <v>616</v>
      </c>
      <c r="B16" s="6" t="str">
        <f t="shared" si="0"/>
        <v>Avya Automobiles Pvt. Ltd.3530</v>
      </c>
      <c r="C16" s="6" t="s">
        <v>6</v>
      </c>
      <c r="D16" s="6" t="s">
        <v>79</v>
      </c>
      <c r="E16" s="5">
        <v>3530</v>
      </c>
      <c r="F16" s="3" t="s">
        <v>890</v>
      </c>
      <c r="G16" s="3" t="s">
        <v>897</v>
      </c>
      <c r="H16" s="3" t="s">
        <v>219</v>
      </c>
      <c r="I16" s="3" t="s">
        <v>463</v>
      </c>
      <c r="J16" s="9">
        <v>100</v>
      </c>
      <c r="K16" s="9">
        <v>100</v>
      </c>
      <c r="L16" s="9">
        <v>0</v>
      </c>
      <c r="M16" s="9">
        <v>0</v>
      </c>
      <c r="N16" s="9">
        <v>0</v>
      </c>
      <c r="O16" s="9">
        <v>80</v>
      </c>
      <c r="P16" s="9">
        <f t="shared" si="2"/>
        <v>0</v>
      </c>
      <c r="Q16" s="18">
        <v>0.36231884057971014</v>
      </c>
      <c r="R16" s="116">
        <v>4.8</v>
      </c>
      <c r="S16" s="19" t="str">
        <f t="shared" si="1"/>
        <v>2036501C (36%)</v>
      </c>
      <c r="T16" s="9">
        <f t="shared" si="3"/>
        <v>0</v>
      </c>
      <c r="U16" s="20" t="s">
        <v>1043</v>
      </c>
      <c r="V16" s="126" t="s">
        <v>1044</v>
      </c>
      <c r="W16" s="20" t="s">
        <v>1057</v>
      </c>
      <c r="X16" s="18">
        <v>1.0125</v>
      </c>
      <c r="Y16" s="18">
        <v>1.012234813380283</v>
      </c>
      <c r="Z16" s="116">
        <v>4</v>
      </c>
      <c r="AA16" s="18"/>
      <c r="AB16" s="75"/>
    </row>
    <row r="17" spans="1:28">
      <c r="A17" s="6" t="s">
        <v>617</v>
      </c>
      <c r="B17" s="6" t="str">
        <f t="shared" si="0"/>
        <v>Berk Autozone LLP1221</v>
      </c>
      <c r="C17" s="6" t="s">
        <v>7</v>
      </c>
      <c r="D17" s="6">
        <v>10358</v>
      </c>
      <c r="E17" s="5">
        <v>1221</v>
      </c>
      <c r="F17" s="3" t="s">
        <v>889</v>
      </c>
      <c r="G17" s="3" t="s">
        <v>898</v>
      </c>
      <c r="H17" s="3" t="s">
        <v>220</v>
      </c>
      <c r="I17" s="3" t="s">
        <v>461</v>
      </c>
      <c r="J17" s="9">
        <v>80</v>
      </c>
      <c r="K17" s="9">
        <v>100</v>
      </c>
      <c r="L17" s="9">
        <v>0</v>
      </c>
      <c r="M17" s="9">
        <v>50</v>
      </c>
      <c r="N17" s="9">
        <v>100</v>
      </c>
      <c r="O17" s="9">
        <v>0</v>
      </c>
      <c r="P17" s="9">
        <f t="shared" si="2"/>
        <v>0</v>
      </c>
      <c r="Q17" s="18">
        <v>0.32653061224489793</v>
      </c>
      <c r="R17" s="116">
        <v>4.7</v>
      </c>
      <c r="S17" s="19" t="str">
        <f t="shared" si="1"/>
        <v>10358 (33%)</v>
      </c>
      <c r="T17" s="9">
        <f t="shared" si="3"/>
        <v>0</v>
      </c>
      <c r="U17" s="20" t="s">
        <v>1043</v>
      </c>
      <c r="V17" s="126" t="s">
        <v>1044</v>
      </c>
      <c r="W17" s="20" t="s">
        <v>1040</v>
      </c>
      <c r="X17" s="18">
        <v>0.95652173913043481</v>
      </c>
      <c r="Y17" s="18">
        <v>0.66371659163346663</v>
      </c>
      <c r="Z17" s="116">
        <v>5</v>
      </c>
      <c r="AA17" s="18"/>
      <c r="AB17" s="75"/>
    </row>
    <row r="18" spans="1:28">
      <c r="A18" s="6" t="s">
        <v>678</v>
      </c>
      <c r="B18" s="6" t="str">
        <f t="shared" si="0"/>
        <v>BLC Autosales Pvt Ltd+Sidak Automobiles1337</v>
      </c>
      <c r="C18" s="8" t="s">
        <v>8</v>
      </c>
      <c r="D18" s="5">
        <v>10288</v>
      </c>
      <c r="E18" s="5">
        <v>1337</v>
      </c>
      <c r="F18" s="3" t="s">
        <v>889</v>
      </c>
      <c r="G18" s="3" t="s">
        <v>221</v>
      </c>
      <c r="H18" s="3" t="s">
        <v>221</v>
      </c>
      <c r="I18" s="3" t="s">
        <v>461</v>
      </c>
      <c r="J18" s="9">
        <v>100</v>
      </c>
      <c r="K18" s="9">
        <v>100</v>
      </c>
      <c r="L18" s="9">
        <v>40</v>
      </c>
      <c r="M18" s="9">
        <v>50</v>
      </c>
      <c r="N18" s="9">
        <v>0</v>
      </c>
      <c r="O18" s="9">
        <v>0</v>
      </c>
      <c r="P18" s="9">
        <f t="shared" si="2"/>
        <v>0</v>
      </c>
      <c r="Q18" s="18">
        <v>0.19834710743801653</v>
      </c>
      <c r="R18" s="116">
        <v>4.7</v>
      </c>
      <c r="S18" s="19" t="str">
        <f t="shared" si="1"/>
        <v>10288 (20%)</v>
      </c>
      <c r="T18" s="9">
        <f t="shared" si="3"/>
        <v>0</v>
      </c>
      <c r="U18" s="20" t="s">
        <v>1043</v>
      </c>
      <c r="V18" s="126" t="s">
        <v>1044</v>
      </c>
      <c r="W18" s="20" t="s">
        <v>1040</v>
      </c>
      <c r="X18" s="18">
        <v>0.83471074380165289</v>
      </c>
      <c r="Y18" s="18">
        <v>0.97989442388758841</v>
      </c>
      <c r="Z18" s="116">
        <v>4.5</v>
      </c>
      <c r="AA18" s="18"/>
      <c r="AB18" s="75"/>
    </row>
    <row r="19" spans="1:28">
      <c r="A19" s="6" t="s">
        <v>678</v>
      </c>
      <c r="B19" s="6" t="str">
        <f t="shared" si="0"/>
        <v>BLC Autosales Pvt Ltd+Sidak Automobiles1337</v>
      </c>
      <c r="C19" s="8" t="s">
        <v>8</v>
      </c>
      <c r="D19" s="6" t="s">
        <v>80</v>
      </c>
      <c r="E19" s="5">
        <v>1337</v>
      </c>
      <c r="F19" s="3" t="s">
        <v>889</v>
      </c>
      <c r="G19" s="3" t="s">
        <v>899</v>
      </c>
      <c r="H19" s="3" t="s">
        <v>222</v>
      </c>
      <c r="I19" s="3" t="s">
        <v>461</v>
      </c>
      <c r="J19" s="9">
        <v>80</v>
      </c>
      <c r="K19" s="9">
        <v>100</v>
      </c>
      <c r="L19" s="9">
        <v>40</v>
      </c>
      <c r="M19" s="9">
        <v>50</v>
      </c>
      <c r="N19" s="9">
        <v>100</v>
      </c>
      <c r="O19" s="9">
        <v>80</v>
      </c>
      <c r="P19" s="9">
        <f t="shared" si="2"/>
        <v>0</v>
      </c>
      <c r="Q19" s="18">
        <v>9.9173553719008267E-2</v>
      </c>
      <c r="R19" s="116">
        <v>4.9000000000000004</v>
      </c>
      <c r="S19" s="19" t="str">
        <f t="shared" si="1"/>
        <v>1028801C (10%)</v>
      </c>
      <c r="T19" s="9">
        <f t="shared" si="3"/>
        <v>0</v>
      </c>
      <c r="U19" s="20" t="s">
        <v>1043</v>
      </c>
      <c r="V19" s="126" t="s">
        <v>1044</v>
      </c>
      <c r="W19" s="20" t="s">
        <v>1057</v>
      </c>
      <c r="X19" s="18">
        <v>0.83471074380165289</v>
      </c>
      <c r="Y19" s="18">
        <v>0.97989442388758841</v>
      </c>
      <c r="Z19" s="116">
        <v>5</v>
      </c>
      <c r="AA19" s="18"/>
      <c r="AB19" s="75"/>
    </row>
    <row r="20" spans="1:28">
      <c r="A20" s="6" t="s">
        <v>678</v>
      </c>
      <c r="B20" s="6" t="str">
        <f t="shared" si="0"/>
        <v>BLC Autosales Pvt Ltd+Sidak Automobiles1337</v>
      </c>
      <c r="C20" s="8" t="s">
        <v>8</v>
      </c>
      <c r="D20" s="5" t="s">
        <v>81</v>
      </c>
      <c r="E20" s="5">
        <v>1337</v>
      </c>
      <c r="F20" s="3" t="s">
        <v>889</v>
      </c>
      <c r="G20" s="3" t="s">
        <v>900</v>
      </c>
      <c r="H20" s="3" t="s">
        <v>223</v>
      </c>
      <c r="I20" s="3" t="s">
        <v>461</v>
      </c>
      <c r="J20" s="9">
        <v>80</v>
      </c>
      <c r="K20" s="9">
        <v>100</v>
      </c>
      <c r="L20" s="9">
        <v>40</v>
      </c>
      <c r="M20" s="9">
        <v>50</v>
      </c>
      <c r="N20" s="9">
        <v>100</v>
      </c>
      <c r="O20" s="9">
        <v>0</v>
      </c>
      <c r="P20" s="9">
        <f t="shared" si="2"/>
        <v>0</v>
      </c>
      <c r="Q20" s="18">
        <v>9.9173553719008267E-2</v>
      </c>
      <c r="R20" s="116">
        <v>5</v>
      </c>
      <c r="S20" s="19" t="str">
        <f t="shared" si="1"/>
        <v>1028802C (10%)</v>
      </c>
      <c r="T20" s="9">
        <f t="shared" si="3"/>
        <v>0</v>
      </c>
      <c r="U20" s="20" t="s">
        <v>1043</v>
      </c>
      <c r="V20" s="126" t="s">
        <v>1045</v>
      </c>
      <c r="W20" s="20" t="s">
        <v>1055</v>
      </c>
      <c r="X20" s="18">
        <v>0.83471074380165289</v>
      </c>
      <c r="Y20" s="18" t="s">
        <v>1066</v>
      </c>
      <c r="Z20" s="116">
        <v>5</v>
      </c>
      <c r="AA20" s="18"/>
      <c r="AB20" s="75"/>
    </row>
    <row r="21" spans="1:28">
      <c r="A21" s="6" t="s">
        <v>678</v>
      </c>
      <c r="B21" s="6" t="str">
        <f t="shared" si="0"/>
        <v>BLC Autosales Pvt Ltd+Sidak Automobiles1337</v>
      </c>
      <c r="C21" s="8" t="s">
        <v>8</v>
      </c>
      <c r="D21" s="5">
        <v>10100</v>
      </c>
      <c r="E21" s="5">
        <v>1337</v>
      </c>
      <c r="F21" s="3" t="s">
        <v>889</v>
      </c>
      <c r="G21" s="3" t="s">
        <v>901</v>
      </c>
      <c r="H21" s="3" t="s">
        <v>224</v>
      </c>
      <c r="I21" s="3" t="s">
        <v>461</v>
      </c>
      <c r="J21" s="9">
        <v>100</v>
      </c>
      <c r="K21" s="9">
        <v>100</v>
      </c>
      <c r="L21" s="9">
        <v>40</v>
      </c>
      <c r="M21" s="9">
        <v>0</v>
      </c>
      <c r="N21" s="9">
        <v>100</v>
      </c>
      <c r="O21" s="9">
        <v>80</v>
      </c>
      <c r="P21" s="9">
        <f t="shared" si="2"/>
        <v>0</v>
      </c>
      <c r="Q21" s="18">
        <v>0.21487603305785125</v>
      </c>
      <c r="R21" s="116">
        <v>4.7</v>
      </c>
      <c r="S21" s="19" t="str">
        <f t="shared" si="1"/>
        <v>10100 (21%)</v>
      </c>
      <c r="T21" s="9">
        <f t="shared" si="3"/>
        <v>0</v>
      </c>
      <c r="U21" s="20" t="s">
        <v>1043</v>
      </c>
      <c r="V21" s="126" t="s">
        <v>1044</v>
      </c>
      <c r="W21" s="20" t="s">
        <v>1040</v>
      </c>
      <c r="X21" s="18">
        <v>0.83471074380165289</v>
      </c>
      <c r="Y21" s="18">
        <v>0.97989442388758841</v>
      </c>
      <c r="Z21" s="116">
        <v>4.9400000000000004</v>
      </c>
      <c r="AA21" s="18"/>
      <c r="AB21" s="75"/>
    </row>
    <row r="22" spans="1:28">
      <c r="A22" s="6" t="s">
        <v>678</v>
      </c>
      <c r="B22" s="6" t="str">
        <f t="shared" si="0"/>
        <v>BLC Autosales Pvt Ltd+Sidak Automobiles1337</v>
      </c>
      <c r="C22" s="8" t="s">
        <v>8</v>
      </c>
      <c r="D22" s="6" t="s">
        <v>82</v>
      </c>
      <c r="E22" s="5">
        <v>1337</v>
      </c>
      <c r="F22" s="3" t="s">
        <v>889</v>
      </c>
      <c r="G22" s="3" t="s">
        <v>902</v>
      </c>
      <c r="H22" s="3" t="s">
        <v>225</v>
      </c>
      <c r="I22" s="3" t="s">
        <v>461</v>
      </c>
      <c r="J22" s="9">
        <v>100</v>
      </c>
      <c r="K22" s="9">
        <v>100</v>
      </c>
      <c r="L22" s="9">
        <v>40</v>
      </c>
      <c r="M22" s="9">
        <v>0</v>
      </c>
      <c r="N22" s="9">
        <v>100</v>
      </c>
      <c r="O22" s="9">
        <v>0</v>
      </c>
      <c r="P22" s="9">
        <f t="shared" si="2"/>
        <v>0</v>
      </c>
      <c r="Q22" s="18">
        <v>0.1487603305785124</v>
      </c>
      <c r="R22" s="116">
        <v>4.4000000000000004</v>
      </c>
      <c r="S22" s="19" t="str">
        <f t="shared" si="1"/>
        <v>1010001C (15%)</v>
      </c>
      <c r="T22" s="9">
        <f t="shared" si="3"/>
        <v>0</v>
      </c>
      <c r="U22" s="20" t="s">
        <v>1043</v>
      </c>
      <c r="V22" s="126" t="s">
        <v>1044</v>
      </c>
      <c r="W22" s="20" t="s">
        <v>1057</v>
      </c>
      <c r="X22" s="18">
        <v>0.83471074380165289</v>
      </c>
      <c r="Y22" s="18">
        <v>0.97989442388758841</v>
      </c>
      <c r="Z22" s="116">
        <v>4.92</v>
      </c>
      <c r="AA22" s="18"/>
      <c r="AB22" s="75"/>
    </row>
    <row r="23" spans="1:28">
      <c r="A23" s="6" t="s">
        <v>678</v>
      </c>
      <c r="B23" s="6" t="str">
        <f t="shared" si="0"/>
        <v>BLC Autosales Pvt Ltd+Sidak Automobiles1337</v>
      </c>
      <c r="C23" s="8" t="s">
        <v>8</v>
      </c>
      <c r="D23" s="6" t="s">
        <v>83</v>
      </c>
      <c r="E23" s="5">
        <v>1337</v>
      </c>
      <c r="F23" s="3" t="s">
        <v>889</v>
      </c>
      <c r="G23" s="3" t="s">
        <v>903</v>
      </c>
      <c r="H23" s="3" t="s">
        <v>226</v>
      </c>
      <c r="I23" s="3" t="s">
        <v>461</v>
      </c>
      <c r="J23" s="9">
        <v>100</v>
      </c>
      <c r="K23" s="9">
        <v>100</v>
      </c>
      <c r="L23" s="9">
        <v>40</v>
      </c>
      <c r="M23" s="9">
        <v>0</v>
      </c>
      <c r="N23" s="9">
        <v>100</v>
      </c>
      <c r="O23" s="9">
        <v>80</v>
      </c>
      <c r="P23" s="9">
        <f t="shared" si="2"/>
        <v>0</v>
      </c>
      <c r="Q23" s="18">
        <v>0.1487603305785124</v>
      </c>
      <c r="R23" s="116">
        <v>4.9000000000000004</v>
      </c>
      <c r="S23" s="19" t="str">
        <f t="shared" si="1"/>
        <v>1010002C (15%)</v>
      </c>
      <c r="T23" s="9">
        <f t="shared" si="3"/>
        <v>0</v>
      </c>
      <c r="U23" s="20" t="s">
        <v>1043</v>
      </c>
      <c r="V23" s="126" t="s">
        <v>1044</v>
      </c>
      <c r="W23" s="20" t="s">
        <v>1057</v>
      </c>
      <c r="X23" s="18">
        <v>0.83471074380165289</v>
      </c>
      <c r="Y23" s="18">
        <v>0.97989442388758841</v>
      </c>
      <c r="Z23" s="116">
        <v>5</v>
      </c>
      <c r="AA23" s="18"/>
      <c r="AB23" s="75"/>
    </row>
    <row r="24" spans="1:28">
      <c r="A24" s="6" t="s">
        <v>618</v>
      </c>
      <c r="B24" s="6" t="str">
        <f t="shared" si="0"/>
        <v>Brite Auto Wheels Private Limited3001</v>
      </c>
      <c r="C24" s="6" t="s">
        <v>9</v>
      </c>
      <c r="D24" s="5">
        <v>10330</v>
      </c>
      <c r="E24" s="5">
        <v>3001</v>
      </c>
      <c r="F24" s="3" t="s">
        <v>889</v>
      </c>
      <c r="G24" s="3" t="s">
        <v>904</v>
      </c>
      <c r="H24" s="3" t="s">
        <v>227</v>
      </c>
      <c r="I24" s="3" t="s">
        <v>464</v>
      </c>
      <c r="J24" s="9">
        <v>100</v>
      </c>
      <c r="K24" s="9">
        <v>100</v>
      </c>
      <c r="L24" s="9">
        <v>0</v>
      </c>
      <c r="M24" s="9">
        <v>0</v>
      </c>
      <c r="N24" s="9">
        <v>80</v>
      </c>
      <c r="O24" s="9">
        <v>0</v>
      </c>
      <c r="P24" s="9">
        <f t="shared" si="2"/>
        <v>280</v>
      </c>
      <c r="Q24" s="18">
        <v>0.83206106870229013</v>
      </c>
      <c r="R24" s="116">
        <v>4.7</v>
      </c>
      <c r="S24" s="19" t="str">
        <f t="shared" si="1"/>
        <v>10330 (83%)</v>
      </c>
      <c r="T24" s="9">
        <f t="shared" si="3"/>
        <v>233</v>
      </c>
      <c r="U24" s="20" t="s">
        <v>1043</v>
      </c>
      <c r="V24" s="126" t="s">
        <v>1044</v>
      </c>
      <c r="W24" s="20" t="s">
        <v>1041</v>
      </c>
      <c r="X24" s="18">
        <v>1.013986013986014</v>
      </c>
      <c r="Y24" s="18">
        <v>0.99336166082474375</v>
      </c>
      <c r="Z24" s="116">
        <v>4.62</v>
      </c>
      <c r="AA24" s="18"/>
      <c r="AB24" s="75"/>
    </row>
    <row r="25" spans="1:28">
      <c r="A25" s="6" t="s">
        <v>618</v>
      </c>
      <c r="B25" s="6" t="str">
        <f t="shared" si="0"/>
        <v>Brite Auto Wheels Private Limited3001</v>
      </c>
      <c r="C25" s="6" t="s">
        <v>9</v>
      </c>
      <c r="D25" s="6" t="s">
        <v>84</v>
      </c>
      <c r="E25" s="5">
        <v>3001</v>
      </c>
      <c r="F25" s="3" t="s">
        <v>889</v>
      </c>
      <c r="G25" s="3" t="s">
        <v>905</v>
      </c>
      <c r="H25" s="3" t="s">
        <v>227</v>
      </c>
      <c r="I25" s="3" t="s">
        <v>464</v>
      </c>
      <c r="J25" s="9">
        <v>100</v>
      </c>
      <c r="K25" s="9">
        <v>100</v>
      </c>
      <c r="L25" s="9">
        <v>0</v>
      </c>
      <c r="M25" s="9">
        <v>0</v>
      </c>
      <c r="N25" s="9">
        <v>80</v>
      </c>
      <c r="O25" s="9">
        <v>80</v>
      </c>
      <c r="P25" s="9">
        <f t="shared" si="2"/>
        <v>360</v>
      </c>
      <c r="Q25" s="18">
        <v>0.16793893129770993</v>
      </c>
      <c r="R25" s="116">
        <v>4.7</v>
      </c>
      <c r="S25" s="19" t="str">
        <f t="shared" si="1"/>
        <v>2033003C (17%)</v>
      </c>
      <c r="T25" s="9">
        <f t="shared" si="3"/>
        <v>60</v>
      </c>
      <c r="U25" s="20" t="s">
        <v>1043</v>
      </c>
      <c r="V25" s="126" t="s">
        <v>1044</v>
      </c>
      <c r="W25" s="20" t="s">
        <v>1057</v>
      </c>
      <c r="X25" s="18">
        <v>1.013986013986014</v>
      </c>
      <c r="Y25" s="18">
        <v>0.99336166082474375</v>
      </c>
      <c r="Z25" s="116">
        <v>4.68</v>
      </c>
      <c r="AA25" s="18"/>
      <c r="AB25" s="75"/>
    </row>
    <row r="26" spans="1:28">
      <c r="A26" s="6" t="s">
        <v>618</v>
      </c>
      <c r="B26" s="6" t="str">
        <f t="shared" si="0"/>
        <v>Brite Auto Wheels Private Limited3001</v>
      </c>
      <c r="C26" s="6" t="s">
        <v>9</v>
      </c>
      <c r="D26" s="6" t="s">
        <v>85</v>
      </c>
      <c r="E26" s="5">
        <v>3001</v>
      </c>
      <c r="F26" s="3" t="s">
        <v>889</v>
      </c>
      <c r="G26" s="3" t="s">
        <v>906</v>
      </c>
      <c r="H26" s="3" t="s">
        <v>228</v>
      </c>
      <c r="I26" s="3" t="s">
        <v>464</v>
      </c>
      <c r="J26" s="9">
        <v>100</v>
      </c>
      <c r="K26" s="9">
        <v>0</v>
      </c>
      <c r="L26" s="9">
        <v>0</v>
      </c>
      <c r="M26" s="9">
        <v>0</v>
      </c>
      <c r="N26" s="9">
        <v>80</v>
      </c>
      <c r="O26" s="9">
        <v>80</v>
      </c>
      <c r="P26" s="9">
        <f t="shared" si="2"/>
        <v>260</v>
      </c>
      <c r="Q26" s="18">
        <v>0</v>
      </c>
      <c r="R26" s="116">
        <v>4.8</v>
      </c>
      <c r="S26" s="19" t="str">
        <f t="shared" si="1"/>
        <v>2033001C (0%)</v>
      </c>
      <c r="T26" s="9">
        <f t="shared" si="3"/>
        <v>0</v>
      </c>
      <c r="U26" s="20" t="s">
        <v>1043</v>
      </c>
      <c r="V26" s="126" t="s">
        <v>1044</v>
      </c>
      <c r="W26" s="20" t="s">
        <v>1057</v>
      </c>
      <c r="X26" s="18">
        <v>1.013986013986014</v>
      </c>
      <c r="Y26" s="18">
        <v>0.99336166082474375</v>
      </c>
      <c r="Z26" s="116">
        <v>4.7</v>
      </c>
      <c r="AA26" s="18"/>
      <c r="AB26" s="75"/>
    </row>
    <row r="27" spans="1:28">
      <c r="A27" s="6" t="s">
        <v>618</v>
      </c>
      <c r="B27" s="6" t="str">
        <f t="shared" si="0"/>
        <v>Brite Auto Wheels Private Limited3001</v>
      </c>
      <c r="C27" s="6" t="s">
        <v>9</v>
      </c>
      <c r="D27" s="6" t="s">
        <v>86</v>
      </c>
      <c r="E27" s="5">
        <v>3001</v>
      </c>
      <c r="F27" s="3" t="s">
        <v>889</v>
      </c>
      <c r="G27" s="3" t="s">
        <v>229</v>
      </c>
      <c r="H27" s="3" t="s">
        <v>230</v>
      </c>
      <c r="I27" s="3" t="s">
        <v>464</v>
      </c>
      <c r="J27" s="9">
        <v>80</v>
      </c>
      <c r="K27" s="9">
        <v>0</v>
      </c>
      <c r="L27" s="9">
        <v>0</v>
      </c>
      <c r="M27" s="9">
        <v>0</v>
      </c>
      <c r="N27" s="9">
        <v>100</v>
      </c>
      <c r="O27" s="9">
        <v>80</v>
      </c>
      <c r="P27" s="9">
        <f t="shared" si="2"/>
        <v>260</v>
      </c>
      <c r="Q27" s="18">
        <v>0</v>
      </c>
      <c r="R27" s="116">
        <v>4.8</v>
      </c>
      <c r="S27" s="19" t="str">
        <f t="shared" si="1"/>
        <v>2033002C (0%)</v>
      </c>
      <c r="T27" s="9">
        <f t="shared" si="3"/>
        <v>0</v>
      </c>
      <c r="U27" s="20" t="s">
        <v>1043</v>
      </c>
      <c r="V27" s="126" t="s">
        <v>1044</v>
      </c>
      <c r="W27" s="20" t="s">
        <v>1057</v>
      </c>
      <c r="X27" s="18">
        <v>1.013986013986014</v>
      </c>
      <c r="Y27" s="18">
        <v>0.99336166082474375</v>
      </c>
      <c r="Z27" s="116">
        <v>5</v>
      </c>
      <c r="AA27" s="18"/>
      <c r="AB27" s="75"/>
    </row>
    <row r="28" spans="1:28">
      <c r="A28" s="6" t="s">
        <v>619</v>
      </c>
      <c r="B28" s="6" t="str">
        <f t="shared" si="0"/>
        <v>Commercial Automotives Pvt Ltd1703</v>
      </c>
      <c r="C28" s="6" t="s">
        <v>10</v>
      </c>
      <c r="D28" s="5">
        <v>10367</v>
      </c>
      <c r="E28" s="5">
        <v>1703</v>
      </c>
      <c r="F28" s="3" t="s">
        <v>890</v>
      </c>
      <c r="G28" s="3" t="s">
        <v>854</v>
      </c>
      <c r="H28" s="3" t="s">
        <v>231</v>
      </c>
      <c r="I28" s="3" t="s">
        <v>463</v>
      </c>
      <c r="J28" s="9">
        <v>80</v>
      </c>
      <c r="K28" s="9">
        <v>80</v>
      </c>
      <c r="L28" s="9">
        <v>0</v>
      </c>
      <c r="M28" s="9">
        <v>0</v>
      </c>
      <c r="N28" s="9">
        <v>100</v>
      </c>
      <c r="O28" s="9">
        <v>0</v>
      </c>
      <c r="P28" s="9">
        <f t="shared" si="2"/>
        <v>260</v>
      </c>
      <c r="Q28" s="18">
        <v>0.66666666666666663</v>
      </c>
      <c r="R28" s="116">
        <v>4.7</v>
      </c>
      <c r="S28" s="19" t="str">
        <f t="shared" si="1"/>
        <v>10367 (67%)</v>
      </c>
      <c r="T28" s="9">
        <f t="shared" si="3"/>
        <v>173</v>
      </c>
      <c r="U28" s="20" t="s">
        <v>1043</v>
      </c>
      <c r="V28" s="126" t="s">
        <v>1044</v>
      </c>
      <c r="W28" s="20" t="s">
        <v>1040</v>
      </c>
      <c r="X28" s="18">
        <v>1.0487804878048781</v>
      </c>
      <c r="Y28" s="18">
        <v>1.607059750000001</v>
      </c>
      <c r="Z28" s="116">
        <v>5</v>
      </c>
      <c r="AA28" s="18"/>
      <c r="AB28" s="75"/>
    </row>
    <row r="29" spans="1:28">
      <c r="A29" s="6" t="s">
        <v>619</v>
      </c>
      <c r="B29" s="6" t="str">
        <f t="shared" si="0"/>
        <v>Commercial Automotives Pvt Ltd1703</v>
      </c>
      <c r="C29" s="6" t="s">
        <v>10</v>
      </c>
      <c r="D29" s="6" t="s">
        <v>87</v>
      </c>
      <c r="E29" s="5">
        <v>1703</v>
      </c>
      <c r="F29" s="3" t="s">
        <v>890</v>
      </c>
      <c r="G29" s="3" t="s">
        <v>907</v>
      </c>
      <c r="H29" s="3" t="s">
        <v>232</v>
      </c>
      <c r="I29" s="3" t="s">
        <v>463</v>
      </c>
      <c r="J29" s="9">
        <v>80</v>
      </c>
      <c r="K29" s="9">
        <v>80</v>
      </c>
      <c r="L29" s="9">
        <v>0</v>
      </c>
      <c r="M29" s="9">
        <v>0</v>
      </c>
      <c r="N29" s="9">
        <v>100</v>
      </c>
      <c r="O29" s="9">
        <v>80</v>
      </c>
      <c r="P29" s="9">
        <f t="shared" si="2"/>
        <v>340</v>
      </c>
      <c r="Q29" s="18">
        <v>0.33333333333333331</v>
      </c>
      <c r="R29" s="116">
        <v>4.9000000000000004</v>
      </c>
      <c r="S29" s="19" t="str">
        <f t="shared" si="1"/>
        <v>1036701C (33%)</v>
      </c>
      <c r="T29" s="9">
        <f t="shared" si="3"/>
        <v>113</v>
      </c>
      <c r="U29" s="20" t="s">
        <v>1043</v>
      </c>
      <c r="V29" s="126" t="s">
        <v>1044</v>
      </c>
      <c r="W29" s="20" t="s">
        <v>1057</v>
      </c>
      <c r="X29" s="18">
        <v>1.0487804878048781</v>
      </c>
      <c r="Y29" s="18">
        <v>1.607059750000001</v>
      </c>
      <c r="Z29" s="116">
        <v>5</v>
      </c>
      <c r="AA29" s="18"/>
      <c r="AB29" s="75"/>
    </row>
    <row r="30" spans="1:28">
      <c r="A30" s="6" t="s">
        <v>620</v>
      </c>
      <c r="B30" s="6" t="str">
        <f t="shared" si="0"/>
        <v>DDPM Automobiles LLP3606</v>
      </c>
      <c r="C30" s="6" t="s">
        <v>11</v>
      </c>
      <c r="D30" s="5">
        <v>10364</v>
      </c>
      <c r="E30" s="5">
        <v>3606</v>
      </c>
      <c r="F30" s="3" t="s">
        <v>889</v>
      </c>
      <c r="G30" s="3" t="s">
        <v>908</v>
      </c>
      <c r="H30" s="3" t="s">
        <v>233</v>
      </c>
      <c r="I30" s="3" t="s">
        <v>464</v>
      </c>
      <c r="J30" s="9">
        <v>0</v>
      </c>
      <c r="K30" s="9">
        <v>80</v>
      </c>
      <c r="L30" s="9">
        <v>0</v>
      </c>
      <c r="M30" s="9">
        <v>0</v>
      </c>
      <c r="N30" s="9">
        <v>0</v>
      </c>
      <c r="O30" s="9">
        <v>0</v>
      </c>
      <c r="P30" s="9">
        <f t="shared" si="2"/>
        <v>0</v>
      </c>
      <c r="Q30" s="18">
        <v>1</v>
      </c>
      <c r="R30" s="116">
        <v>4.3</v>
      </c>
      <c r="S30" s="19" t="str">
        <f t="shared" si="1"/>
        <v>10364 (100%)</v>
      </c>
      <c r="T30" s="9">
        <f t="shared" si="3"/>
        <v>0</v>
      </c>
      <c r="U30" s="20" t="s">
        <v>1043</v>
      </c>
      <c r="V30" s="126" t="s">
        <v>1044</v>
      </c>
      <c r="W30" s="20" t="s">
        <v>1041</v>
      </c>
      <c r="X30" s="18">
        <v>0.93181818181818177</v>
      </c>
      <c r="Y30" s="18">
        <v>1.0509779326923081</v>
      </c>
      <c r="Z30" s="116">
        <v>4.29</v>
      </c>
      <c r="AA30" s="18"/>
      <c r="AB30" s="75"/>
    </row>
    <row r="31" spans="1:28">
      <c r="A31" s="6" t="s">
        <v>621</v>
      </c>
      <c r="B31" s="6" t="str">
        <f t="shared" si="0"/>
        <v>Dev Bhoomi Motors Pvt. Ltd1161</v>
      </c>
      <c r="C31" s="6" t="s">
        <v>12</v>
      </c>
      <c r="D31" s="5">
        <v>10202</v>
      </c>
      <c r="E31" s="5">
        <v>1161</v>
      </c>
      <c r="F31" s="3" t="s">
        <v>889</v>
      </c>
      <c r="G31" s="3" t="s">
        <v>234</v>
      </c>
      <c r="H31" s="3" t="s">
        <v>235</v>
      </c>
      <c r="I31" s="3" t="s">
        <v>464</v>
      </c>
      <c r="J31" s="9">
        <v>100</v>
      </c>
      <c r="K31" s="9">
        <v>100</v>
      </c>
      <c r="L31" s="9">
        <v>50</v>
      </c>
      <c r="M31" s="9">
        <v>50</v>
      </c>
      <c r="N31" s="9">
        <v>80</v>
      </c>
      <c r="O31" s="9">
        <v>100</v>
      </c>
      <c r="P31" s="9">
        <f t="shared" si="2"/>
        <v>480</v>
      </c>
      <c r="Q31" s="18">
        <v>0.68888888888888888</v>
      </c>
      <c r="R31" s="116">
        <v>4.8</v>
      </c>
      <c r="S31" s="19" t="str">
        <f t="shared" si="1"/>
        <v>10202 (69%)</v>
      </c>
      <c r="T31" s="9">
        <f t="shared" si="3"/>
        <v>331</v>
      </c>
      <c r="U31" s="20" t="s">
        <v>1043</v>
      </c>
      <c r="V31" s="126" t="s">
        <v>1044</v>
      </c>
      <c r="W31" s="20" t="s">
        <v>1040</v>
      </c>
      <c r="X31" s="18">
        <v>2.347826086956522</v>
      </c>
      <c r="Y31" s="18">
        <v>0.94140980392156892</v>
      </c>
      <c r="Z31" s="116">
        <v>4.8</v>
      </c>
      <c r="AA31" s="18"/>
      <c r="AB31" s="75"/>
    </row>
    <row r="32" spans="1:28">
      <c r="A32" s="6" t="s">
        <v>621</v>
      </c>
      <c r="B32" s="6" t="str">
        <f t="shared" si="0"/>
        <v>Dev Bhoomi Motors Pvt. Ltd1161</v>
      </c>
      <c r="C32" s="6" t="s">
        <v>12</v>
      </c>
      <c r="D32" s="6" t="s">
        <v>88</v>
      </c>
      <c r="E32" s="5">
        <v>1161</v>
      </c>
      <c r="F32" s="3" t="s">
        <v>889</v>
      </c>
      <c r="G32" s="3" t="s">
        <v>236</v>
      </c>
      <c r="H32" s="3" t="s">
        <v>237</v>
      </c>
      <c r="I32" s="3" t="s">
        <v>464</v>
      </c>
      <c r="J32" s="9">
        <v>100</v>
      </c>
      <c r="K32" s="9">
        <v>100</v>
      </c>
      <c r="L32" s="9">
        <v>50</v>
      </c>
      <c r="M32" s="9">
        <v>50</v>
      </c>
      <c r="N32" s="9">
        <v>100</v>
      </c>
      <c r="O32" s="9">
        <v>100</v>
      </c>
      <c r="P32" s="9">
        <f t="shared" si="2"/>
        <v>500</v>
      </c>
      <c r="Q32" s="18">
        <v>0.31111111111111112</v>
      </c>
      <c r="R32" s="116">
        <v>4.9000000000000004</v>
      </c>
      <c r="S32" s="19" t="str">
        <f t="shared" si="1"/>
        <v>1020201C (31%)</v>
      </c>
      <c r="T32" s="9">
        <f t="shared" si="3"/>
        <v>156</v>
      </c>
      <c r="U32" s="20" t="s">
        <v>1043</v>
      </c>
      <c r="V32" s="126" t="s">
        <v>1044</v>
      </c>
      <c r="W32" s="20" t="s">
        <v>1057</v>
      </c>
      <c r="X32" s="18">
        <v>2.347826086956522</v>
      </c>
      <c r="Y32" s="18">
        <v>0.94140980392156892</v>
      </c>
      <c r="Z32" s="116">
        <v>5</v>
      </c>
      <c r="AA32" s="18"/>
      <c r="AB32" s="75"/>
    </row>
    <row r="33" spans="1:28">
      <c r="A33" s="6" t="s">
        <v>623</v>
      </c>
      <c r="B33" s="6" t="str">
        <f t="shared" si="0"/>
        <v>Emporium Automobile Pvt. Ltd.3955</v>
      </c>
      <c r="C33" s="6" t="s">
        <v>14</v>
      </c>
      <c r="D33" s="5">
        <v>10301</v>
      </c>
      <c r="E33" s="5">
        <v>3955</v>
      </c>
      <c r="F33" s="3" t="s">
        <v>890</v>
      </c>
      <c r="G33" s="3" t="s">
        <v>239</v>
      </c>
      <c r="H33" s="3" t="s">
        <v>240</v>
      </c>
      <c r="I33" s="3" t="s">
        <v>465</v>
      </c>
      <c r="J33" s="9">
        <v>80</v>
      </c>
      <c r="K33" s="9">
        <v>100</v>
      </c>
      <c r="L33" s="9">
        <v>40</v>
      </c>
      <c r="M33" s="9">
        <v>50</v>
      </c>
      <c r="N33" s="9">
        <v>80</v>
      </c>
      <c r="O33" s="9">
        <v>0</v>
      </c>
      <c r="P33" s="9">
        <f t="shared" si="2"/>
        <v>350</v>
      </c>
      <c r="Q33" s="18">
        <v>0.72881355932203384</v>
      </c>
      <c r="R33" s="116">
        <v>4.7</v>
      </c>
      <c r="S33" s="19" t="str">
        <f t="shared" si="1"/>
        <v>10301 (73%)</v>
      </c>
      <c r="T33" s="9">
        <f t="shared" si="3"/>
        <v>255</v>
      </c>
      <c r="U33" s="20" t="s">
        <v>1043</v>
      </c>
      <c r="V33" s="126" t="s">
        <v>1044</v>
      </c>
      <c r="W33" s="20" t="s">
        <v>1041</v>
      </c>
      <c r="X33" s="18">
        <v>1.0434782608695652</v>
      </c>
      <c r="Y33" s="18">
        <v>0.92020618029739865</v>
      </c>
      <c r="Z33" s="116">
        <v>4.68</v>
      </c>
      <c r="AA33" s="18"/>
      <c r="AB33" s="75"/>
    </row>
    <row r="34" spans="1:28">
      <c r="A34" s="6" t="s">
        <v>623</v>
      </c>
      <c r="B34" s="6" t="str">
        <f t="shared" si="0"/>
        <v>Emporium Automobile Pvt. Ltd.3955</v>
      </c>
      <c r="C34" s="6" t="s">
        <v>14</v>
      </c>
      <c r="D34" s="5" t="s">
        <v>90</v>
      </c>
      <c r="E34" s="5">
        <v>3955</v>
      </c>
      <c r="F34" s="3" t="s">
        <v>890</v>
      </c>
      <c r="G34" s="3" t="s">
        <v>241</v>
      </c>
      <c r="H34" s="3" t="s">
        <v>242</v>
      </c>
      <c r="I34" s="3" t="s">
        <v>465</v>
      </c>
      <c r="J34" s="9">
        <v>0</v>
      </c>
      <c r="K34" s="9">
        <v>100</v>
      </c>
      <c r="L34" s="9">
        <v>40</v>
      </c>
      <c r="M34" s="9">
        <v>50</v>
      </c>
      <c r="N34" s="9">
        <v>0</v>
      </c>
      <c r="O34" s="9">
        <v>0</v>
      </c>
      <c r="P34" s="9">
        <f t="shared" si="2"/>
        <v>0</v>
      </c>
      <c r="Q34" s="18">
        <v>0.2711864406779661</v>
      </c>
      <c r="R34" s="116">
        <v>4.9000000000000004</v>
      </c>
      <c r="S34" s="19" t="str">
        <f t="shared" si="1"/>
        <v>1030101A (27%)</v>
      </c>
      <c r="T34" s="9">
        <f t="shared" si="3"/>
        <v>0</v>
      </c>
      <c r="U34" s="20" t="s">
        <v>1043</v>
      </c>
      <c r="V34" s="126" t="s">
        <v>1045</v>
      </c>
      <c r="W34" s="20" t="s">
        <v>1055</v>
      </c>
      <c r="X34" s="18">
        <v>1.0434782608695652</v>
      </c>
      <c r="Y34" s="18" t="s">
        <v>1066</v>
      </c>
      <c r="Z34" s="116">
        <v>4.46</v>
      </c>
      <c r="AA34" s="18"/>
      <c r="AB34" s="75"/>
    </row>
    <row r="35" spans="1:28">
      <c r="A35" s="6" t="s">
        <v>625</v>
      </c>
      <c r="B35" s="6" t="str">
        <f t="shared" si="0"/>
        <v>EVM Motors &amp; Vehicles India Pvt Ltd3346</v>
      </c>
      <c r="C35" s="6" t="s">
        <v>15</v>
      </c>
      <c r="D35" s="5">
        <v>10340</v>
      </c>
      <c r="E35" s="5">
        <v>3346</v>
      </c>
      <c r="F35" s="3" t="s">
        <v>890</v>
      </c>
      <c r="G35" s="3" t="s">
        <v>243</v>
      </c>
      <c r="H35" s="3" t="s">
        <v>243</v>
      </c>
      <c r="I35" s="3" t="s">
        <v>466</v>
      </c>
      <c r="J35" s="9">
        <v>100</v>
      </c>
      <c r="K35" s="9">
        <v>100</v>
      </c>
      <c r="L35" s="9">
        <v>0</v>
      </c>
      <c r="M35" s="9">
        <v>50</v>
      </c>
      <c r="N35" s="9">
        <v>100</v>
      </c>
      <c r="O35" s="9">
        <v>80</v>
      </c>
      <c r="P35" s="9">
        <f t="shared" si="2"/>
        <v>0</v>
      </c>
      <c r="Q35" s="18">
        <v>0.17592592592592593</v>
      </c>
      <c r="R35" s="116">
        <v>4.8</v>
      </c>
      <c r="S35" s="19" t="str">
        <f t="shared" si="1"/>
        <v>10340 (18%)</v>
      </c>
      <c r="T35" s="9">
        <f t="shared" si="3"/>
        <v>0</v>
      </c>
      <c r="U35" s="20" t="s">
        <v>1043</v>
      </c>
      <c r="V35" s="126" t="s">
        <v>1044</v>
      </c>
      <c r="W35" s="20" t="s">
        <v>1041</v>
      </c>
      <c r="X35" s="18">
        <v>1.3137254901960784</v>
      </c>
      <c r="Y35" s="18">
        <v>0.84404486763699482</v>
      </c>
      <c r="Z35" s="116">
        <v>4.8499999999999996</v>
      </c>
      <c r="AA35" s="18"/>
      <c r="AB35" s="75"/>
    </row>
    <row r="36" spans="1:28">
      <c r="A36" s="6" t="s">
        <v>625</v>
      </c>
      <c r="B36" s="6" t="str">
        <f t="shared" si="0"/>
        <v>EVM Motors &amp; Vehicles India Pvt Ltd3346</v>
      </c>
      <c r="C36" s="6" t="s">
        <v>15</v>
      </c>
      <c r="D36" s="5">
        <v>10328</v>
      </c>
      <c r="E36" s="5">
        <v>3346</v>
      </c>
      <c r="F36" s="3" t="s">
        <v>890</v>
      </c>
      <c r="G36" s="3" t="s">
        <v>244</v>
      </c>
      <c r="H36" s="3" t="s">
        <v>245</v>
      </c>
      <c r="I36" s="3" t="s">
        <v>466</v>
      </c>
      <c r="J36" s="9">
        <v>100</v>
      </c>
      <c r="K36" s="9">
        <v>100</v>
      </c>
      <c r="L36" s="9">
        <v>0</v>
      </c>
      <c r="M36" s="9">
        <v>0</v>
      </c>
      <c r="N36" s="9">
        <v>100</v>
      </c>
      <c r="O36" s="9">
        <v>0</v>
      </c>
      <c r="P36" s="9">
        <f t="shared" si="2"/>
        <v>0</v>
      </c>
      <c r="Q36" s="18">
        <v>0.25</v>
      </c>
      <c r="R36" s="116">
        <v>4.7</v>
      </c>
      <c r="S36" s="19" t="str">
        <f t="shared" si="1"/>
        <v>10328 (25%)</v>
      </c>
      <c r="T36" s="9">
        <f t="shared" si="3"/>
        <v>0</v>
      </c>
      <c r="U36" s="20" t="s">
        <v>1043</v>
      </c>
      <c r="V36" s="126" t="s">
        <v>1044</v>
      </c>
      <c r="W36" s="20" t="s">
        <v>1041</v>
      </c>
      <c r="X36" s="18">
        <v>1.3137254901960784</v>
      </c>
      <c r="Y36" s="18">
        <v>0.84404486763699482</v>
      </c>
      <c r="Z36" s="116">
        <v>4.8600000000000003</v>
      </c>
      <c r="AA36" s="18"/>
      <c r="AB36" s="75"/>
    </row>
    <row r="37" spans="1:28">
      <c r="A37" s="6" t="s">
        <v>625</v>
      </c>
      <c r="B37" s="6" t="str">
        <f t="shared" si="0"/>
        <v>EVM Motors &amp; Vehicles India Pvt Ltd3346</v>
      </c>
      <c r="C37" s="6" t="s">
        <v>15</v>
      </c>
      <c r="D37" s="3">
        <v>10376</v>
      </c>
      <c r="E37" s="5">
        <v>3346</v>
      </c>
      <c r="F37" s="3" t="s">
        <v>890</v>
      </c>
      <c r="G37" s="3" t="s">
        <v>246</v>
      </c>
      <c r="H37" s="3" t="s">
        <v>247</v>
      </c>
      <c r="I37" s="3" t="s">
        <v>466</v>
      </c>
      <c r="J37" s="9">
        <v>100</v>
      </c>
      <c r="K37" s="9">
        <v>100</v>
      </c>
      <c r="L37" s="9">
        <v>0</v>
      </c>
      <c r="M37" s="9">
        <v>50</v>
      </c>
      <c r="N37" s="9">
        <v>100</v>
      </c>
      <c r="O37" s="9">
        <v>80</v>
      </c>
      <c r="P37" s="9">
        <f t="shared" si="2"/>
        <v>0</v>
      </c>
      <c r="Q37" s="18">
        <v>0.13425925925925927</v>
      </c>
      <c r="R37" s="116">
        <v>4.7</v>
      </c>
      <c r="S37" s="19" t="str">
        <f t="shared" si="1"/>
        <v>10376 (13%)</v>
      </c>
      <c r="T37" s="9">
        <f t="shared" si="3"/>
        <v>0</v>
      </c>
      <c r="U37" s="20" t="s">
        <v>1043</v>
      </c>
      <c r="V37" s="126" t="s">
        <v>1044</v>
      </c>
      <c r="W37" s="20" t="s">
        <v>1041</v>
      </c>
      <c r="X37" s="18">
        <v>1.3137254901960784</v>
      </c>
      <c r="Y37" s="18">
        <v>0.84404486763699482</v>
      </c>
      <c r="Z37" s="116">
        <v>5</v>
      </c>
      <c r="AA37" s="18"/>
      <c r="AB37" s="75"/>
    </row>
    <row r="38" spans="1:28">
      <c r="A38" s="6" t="s">
        <v>625</v>
      </c>
      <c r="B38" s="6" t="str">
        <f t="shared" si="0"/>
        <v>EVM Motors &amp; Vehicles India Pvt Ltd3346</v>
      </c>
      <c r="C38" s="6" t="s">
        <v>15</v>
      </c>
      <c r="D38" s="6" t="s">
        <v>91</v>
      </c>
      <c r="E38" s="5">
        <v>3346</v>
      </c>
      <c r="F38" s="3" t="s">
        <v>890</v>
      </c>
      <c r="G38" s="3" t="s">
        <v>248</v>
      </c>
      <c r="H38" s="3" t="s">
        <v>909</v>
      </c>
      <c r="I38" s="3" t="s">
        <v>466</v>
      </c>
      <c r="J38" s="9">
        <v>100</v>
      </c>
      <c r="K38" s="9">
        <v>100</v>
      </c>
      <c r="L38" s="9">
        <v>0</v>
      </c>
      <c r="M38" s="9">
        <v>0</v>
      </c>
      <c r="N38" s="9">
        <v>100</v>
      </c>
      <c r="O38" s="9">
        <v>80</v>
      </c>
      <c r="P38" s="9">
        <f t="shared" si="2"/>
        <v>380</v>
      </c>
      <c r="Q38" s="18">
        <v>5.5555555555555552E-2</v>
      </c>
      <c r="R38" s="116">
        <v>4.8</v>
      </c>
      <c r="S38" s="19" t="str">
        <f t="shared" si="1"/>
        <v>1032801A (6%)</v>
      </c>
      <c r="T38" s="9">
        <f t="shared" si="3"/>
        <v>21</v>
      </c>
      <c r="U38" s="20" t="s">
        <v>1043</v>
      </c>
      <c r="V38" s="126" t="s">
        <v>1045</v>
      </c>
      <c r="W38" s="20" t="s">
        <v>1055</v>
      </c>
      <c r="X38" s="18">
        <v>1.3137254901960784</v>
      </c>
      <c r="Y38" s="18" t="s">
        <v>1066</v>
      </c>
      <c r="Z38" s="116">
        <v>5</v>
      </c>
      <c r="AA38" s="18"/>
      <c r="AB38" s="75"/>
    </row>
    <row r="39" spans="1:28">
      <c r="A39" s="6" t="s">
        <v>625</v>
      </c>
      <c r="B39" s="6" t="str">
        <f t="shared" si="0"/>
        <v>EVM Motors &amp; Vehicles India Pvt Ltd3346</v>
      </c>
      <c r="C39" s="6" t="s">
        <v>15</v>
      </c>
      <c r="D39" s="6" t="s">
        <v>92</v>
      </c>
      <c r="E39" s="5">
        <v>3346</v>
      </c>
      <c r="F39" s="3" t="s">
        <v>890</v>
      </c>
      <c r="G39" s="3" t="s">
        <v>910</v>
      </c>
      <c r="H39" s="3" t="s">
        <v>250</v>
      </c>
      <c r="I39" s="3" t="s">
        <v>466</v>
      </c>
      <c r="J39" s="9">
        <v>0</v>
      </c>
      <c r="K39" s="9">
        <v>100</v>
      </c>
      <c r="L39" s="9">
        <v>0</v>
      </c>
      <c r="M39" s="9">
        <v>50</v>
      </c>
      <c r="N39" s="9">
        <v>100</v>
      </c>
      <c r="O39" s="9">
        <v>80</v>
      </c>
      <c r="P39" s="9">
        <f t="shared" si="2"/>
        <v>0</v>
      </c>
      <c r="Q39" s="18">
        <v>0.11574074074074074</v>
      </c>
      <c r="R39" s="116">
        <v>4.8</v>
      </c>
      <c r="S39" s="19" t="str">
        <f t="shared" si="1"/>
        <v>1034001A (12%)</v>
      </c>
      <c r="T39" s="9">
        <f t="shared" si="3"/>
        <v>0</v>
      </c>
      <c r="U39" s="20" t="s">
        <v>1043</v>
      </c>
      <c r="V39" s="126" t="s">
        <v>1044</v>
      </c>
      <c r="W39" s="20" t="s">
        <v>1056</v>
      </c>
      <c r="X39" s="18">
        <v>1.3137254901960784</v>
      </c>
      <c r="Y39" s="18">
        <v>0.84404486763699482</v>
      </c>
      <c r="Z39" s="116">
        <v>4.91</v>
      </c>
      <c r="AA39" s="18"/>
      <c r="AB39" s="75"/>
    </row>
    <row r="40" spans="1:28">
      <c r="A40" s="6" t="s">
        <v>625</v>
      </c>
      <c r="B40" s="6" t="str">
        <f t="shared" si="0"/>
        <v>EVM Motors &amp; Vehicles India Pvt Ltd3346</v>
      </c>
      <c r="C40" s="6" t="s">
        <v>15</v>
      </c>
      <c r="D40" s="6" t="s">
        <v>93</v>
      </c>
      <c r="E40" s="5">
        <v>3346</v>
      </c>
      <c r="F40" s="3" t="s">
        <v>890</v>
      </c>
      <c r="G40" s="3" t="s">
        <v>251</v>
      </c>
      <c r="H40" s="3" t="s">
        <v>252</v>
      </c>
      <c r="I40" s="3" t="s">
        <v>466</v>
      </c>
      <c r="J40" s="9">
        <v>100</v>
      </c>
      <c r="K40" s="9">
        <v>80</v>
      </c>
      <c r="L40" s="9">
        <v>0</v>
      </c>
      <c r="M40" s="9">
        <v>0</v>
      </c>
      <c r="N40" s="9">
        <v>100</v>
      </c>
      <c r="O40" s="9">
        <v>0</v>
      </c>
      <c r="P40" s="9">
        <f t="shared" si="2"/>
        <v>280</v>
      </c>
      <c r="Q40" s="18">
        <v>5.0925925925925923E-2</v>
      </c>
      <c r="R40" s="116">
        <v>4.8</v>
      </c>
      <c r="S40" s="19" t="str">
        <f t="shared" si="1"/>
        <v>1032802A (5%)</v>
      </c>
      <c r="T40" s="9">
        <f t="shared" si="3"/>
        <v>14</v>
      </c>
      <c r="U40" s="20" t="s">
        <v>1043</v>
      </c>
      <c r="V40" s="126" t="s">
        <v>1045</v>
      </c>
      <c r="W40" s="20" t="s">
        <v>1055</v>
      </c>
      <c r="X40" s="18">
        <v>1.3137254901960784</v>
      </c>
      <c r="Y40" s="18" t="s">
        <v>1066</v>
      </c>
      <c r="Z40" s="116">
        <v>5</v>
      </c>
      <c r="AA40" s="18"/>
      <c r="AB40" s="75"/>
    </row>
    <row r="41" spans="1:28">
      <c r="A41" s="6" t="s">
        <v>625</v>
      </c>
      <c r="B41" s="6" t="str">
        <f t="shared" si="0"/>
        <v>EVM Motors &amp; Vehicles India Pvt Ltd3346</v>
      </c>
      <c r="C41" s="6" t="s">
        <v>15</v>
      </c>
      <c r="D41" s="6" t="s">
        <v>94</v>
      </c>
      <c r="E41" s="5">
        <v>3346</v>
      </c>
      <c r="F41" s="3" t="s">
        <v>890</v>
      </c>
      <c r="G41" s="3" t="s">
        <v>254</v>
      </c>
      <c r="H41" s="3" t="s">
        <v>245</v>
      </c>
      <c r="I41" s="3" t="s">
        <v>466</v>
      </c>
      <c r="J41" s="9">
        <v>100</v>
      </c>
      <c r="K41" s="9">
        <v>0</v>
      </c>
      <c r="L41" s="9">
        <v>0</v>
      </c>
      <c r="M41" s="9">
        <v>0</v>
      </c>
      <c r="N41" s="9">
        <v>80</v>
      </c>
      <c r="O41" s="9">
        <v>80</v>
      </c>
      <c r="P41" s="9">
        <f t="shared" si="2"/>
        <v>260</v>
      </c>
      <c r="Q41" s="18">
        <v>7.8703703703703706E-2</v>
      </c>
      <c r="R41" s="116">
        <v>4.7</v>
      </c>
      <c r="S41" s="19" t="str">
        <f t="shared" si="1"/>
        <v>1032803A (8%)</v>
      </c>
      <c r="T41" s="9">
        <f t="shared" si="3"/>
        <v>20</v>
      </c>
      <c r="U41" s="20" t="s">
        <v>1043</v>
      </c>
      <c r="V41" s="126" t="s">
        <v>1045</v>
      </c>
      <c r="W41" s="20" t="s">
        <v>1055</v>
      </c>
      <c r="X41" s="18">
        <v>1.3137254901960784</v>
      </c>
      <c r="Y41" s="18" t="s">
        <v>1066</v>
      </c>
      <c r="Z41" s="116">
        <v>4.75</v>
      </c>
      <c r="AA41" s="18"/>
      <c r="AB41" s="75"/>
    </row>
    <row r="42" spans="1:28">
      <c r="A42" s="6" t="s">
        <v>625</v>
      </c>
      <c r="B42" s="6" t="str">
        <f t="shared" si="0"/>
        <v>EVM Motors &amp; Vehicles India Pvt Ltd3346</v>
      </c>
      <c r="C42" s="6" t="s">
        <v>15</v>
      </c>
      <c r="D42" s="6" t="s">
        <v>95</v>
      </c>
      <c r="E42" s="5">
        <v>3346</v>
      </c>
      <c r="F42" s="3" t="s">
        <v>890</v>
      </c>
      <c r="G42" s="3" t="s">
        <v>911</v>
      </c>
      <c r="H42" s="3" t="s">
        <v>256</v>
      </c>
      <c r="I42" s="3" t="s">
        <v>466</v>
      </c>
      <c r="J42" s="9">
        <v>100</v>
      </c>
      <c r="K42" s="9">
        <v>0</v>
      </c>
      <c r="L42" s="9">
        <v>0</v>
      </c>
      <c r="M42" s="9">
        <v>50</v>
      </c>
      <c r="N42" s="9">
        <v>0</v>
      </c>
      <c r="O42" s="9">
        <v>100</v>
      </c>
      <c r="P42" s="9">
        <f t="shared" si="2"/>
        <v>0</v>
      </c>
      <c r="Q42" s="18">
        <v>3.7037037037037035E-2</v>
      </c>
      <c r="R42" s="116">
        <v>5</v>
      </c>
      <c r="S42" s="19" t="str">
        <f t="shared" si="1"/>
        <v>2034003C (4%)</v>
      </c>
      <c r="T42" s="9">
        <f t="shared" si="3"/>
        <v>0</v>
      </c>
      <c r="U42" s="20" t="s">
        <v>1043</v>
      </c>
      <c r="V42" s="126" t="s">
        <v>1044</v>
      </c>
      <c r="W42" s="20" t="s">
        <v>1057</v>
      </c>
      <c r="X42" s="18">
        <v>1.3137254901960784</v>
      </c>
      <c r="Y42" s="18">
        <v>0.84404486763699482</v>
      </c>
      <c r="Z42" s="116">
        <v>4</v>
      </c>
      <c r="AA42" s="18"/>
      <c r="AB42" s="75"/>
    </row>
    <row r="43" spans="1:28">
      <c r="A43" s="6" t="s">
        <v>626</v>
      </c>
      <c r="B43" s="6" t="str">
        <f t="shared" si="0"/>
        <v>Excel Cars Pvt. Ltd.3343</v>
      </c>
      <c r="C43" s="6" t="s">
        <v>16</v>
      </c>
      <c r="D43" s="3">
        <v>10361</v>
      </c>
      <c r="E43" s="5">
        <v>3343</v>
      </c>
      <c r="F43" s="3" t="s">
        <v>889</v>
      </c>
      <c r="G43" s="3" t="s">
        <v>912</v>
      </c>
      <c r="H43" s="3" t="s">
        <v>257</v>
      </c>
      <c r="I43" s="3" t="s">
        <v>460</v>
      </c>
      <c r="J43" s="9">
        <v>100</v>
      </c>
      <c r="K43" s="9">
        <v>100</v>
      </c>
      <c r="L43" s="9">
        <v>50</v>
      </c>
      <c r="M43" s="9">
        <v>50</v>
      </c>
      <c r="N43" s="9">
        <v>100</v>
      </c>
      <c r="O43" s="9">
        <v>80</v>
      </c>
      <c r="P43" s="9">
        <f t="shared" si="2"/>
        <v>480</v>
      </c>
      <c r="Q43" s="18">
        <v>1</v>
      </c>
      <c r="R43" s="116">
        <v>4.8</v>
      </c>
      <c r="S43" s="19" t="str">
        <f t="shared" si="1"/>
        <v>10361 (100%)</v>
      </c>
      <c r="T43" s="9">
        <f t="shared" si="3"/>
        <v>480</v>
      </c>
      <c r="U43" s="20" t="s">
        <v>1043</v>
      </c>
      <c r="V43" s="126" t="s">
        <v>1044</v>
      </c>
      <c r="W43" s="20" t="s">
        <v>1040</v>
      </c>
      <c r="X43" s="18">
        <v>1.0256410256410255</v>
      </c>
      <c r="Y43" s="18">
        <v>1.0582595066921601</v>
      </c>
      <c r="Z43" s="116">
        <v>4.8600000000000003</v>
      </c>
      <c r="AA43" s="18"/>
      <c r="AB43" s="75"/>
    </row>
    <row r="44" spans="1:28">
      <c r="A44" s="6" t="s">
        <v>627</v>
      </c>
      <c r="B44" s="6" t="str">
        <f t="shared" si="0"/>
        <v>Fatehpuria Motocorp Pvt Ltd 2688</v>
      </c>
      <c r="C44" s="6" t="s">
        <v>17</v>
      </c>
      <c r="D44" s="3">
        <v>10356</v>
      </c>
      <c r="E44" s="5">
        <v>2688</v>
      </c>
      <c r="F44" s="3" t="s">
        <v>889</v>
      </c>
      <c r="G44" s="3" t="s">
        <v>258</v>
      </c>
      <c r="H44" s="3" t="s">
        <v>259</v>
      </c>
      <c r="I44" s="3" t="s">
        <v>460</v>
      </c>
      <c r="J44" s="9">
        <v>0</v>
      </c>
      <c r="K44" s="9">
        <v>80</v>
      </c>
      <c r="L44" s="9">
        <v>0</v>
      </c>
      <c r="M44" s="9">
        <v>50</v>
      </c>
      <c r="N44" s="9">
        <v>0</v>
      </c>
      <c r="O44" s="9">
        <v>0</v>
      </c>
      <c r="P44" s="9">
        <f t="shared" si="2"/>
        <v>0</v>
      </c>
      <c r="Q44" s="18">
        <v>0.70270270270270274</v>
      </c>
      <c r="R44" s="116">
        <v>4.7</v>
      </c>
      <c r="S44" s="19" t="str">
        <f t="shared" si="1"/>
        <v>10356 (70%)</v>
      </c>
      <c r="T44" s="9">
        <f t="shared" si="3"/>
        <v>0</v>
      </c>
      <c r="U44" s="20" t="s">
        <v>1043</v>
      </c>
      <c r="V44" s="126" t="s">
        <v>1044</v>
      </c>
      <c r="W44" s="20" t="s">
        <v>1040</v>
      </c>
      <c r="X44" s="18">
        <v>1.2857142857142858</v>
      </c>
      <c r="Y44" s="18">
        <v>1.2926704696969704</v>
      </c>
      <c r="Z44" s="116">
        <v>4.54</v>
      </c>
      <c r="AA44" s="18"/>
      <c r="AB44" s="75"/>
    </row>
    <row r="45" spans="1:28">
      <c r="A45" s="6" t="s">
        <v>627</v>
      </c>
      <c r="B45" s="6" t="str">
        <f t="shared" si="0"/>
        <v>Fatehpuria Motocorp Pvt Ltd 2688</v>
      </c>
      <c r="C45" s="6" t="s">
        <v>17</v>
      </c>
      <c r="D45" s="6" t="s">
        <v>96</v>
      </c>
      <c r="E45" s="5">
        <v>2688</v>
      </c>
      <c r="F45" s="3" t="s">
        <v>889</v>
      </c>
      <c r="G45" s="3" t="s">
        <v>913</v>
      </c>
      <c r="H45" s="3" t="s">
        <v>261</v>
      </c>
      <c r="I45" s="3" t="s">
        <v>460</v>
      </c>
      <c r="J45" s="9">
        <v>0</v>
      </c>
      <c r="K45" s="9">
        <v>100</v>
      </c>
      <c r="L45" s="9">
        <v>0</v>
      </c>
      <c r="M45" s="9">
        <v>50</v>
      </c>
      <c r="N45" s="9">
        <v>0</v>
      </c>
      <c r="O45" s="9">
        <v>0</v>
      </c>
      <c r="P45" s="9">
        <f t="shared" si="2"/>
        <v>0</v>
      </c>
      <c r="Q45" s="18">
        <v>0.29729729729729731</v>
      </c>
      <c r="R45" s="116">
        <v>4.7</v>
      </c>
      <c r="S45" s="19" t="str">
        <f t="shared" si="1"/>
        <v>1035601A (30%)</v>
      </c>
      <c r="T45" s="9">
        <f t="shared" si="3"/>
        <v>0</v>
      </c>
      <c r="U45" s="20" t="s">
        <v>1043</v>
      </c>
      <c r="V45" s="126" t="s">
        <v>1045</v>
      </c>
      <c r="W45" s="20" t="s">
        <v>1055</v>
      </c>
      <c r="X45" s="18">
        <v>1.2857142857142858</v>
      </c>
      <c r="Y45" s="18" t="s">
        <v>1066</v>
      </c>
      <c r="Z45" s="116">
        <v>3</v>
      </c>
      <c r="AA45" s="18"/>
      <c r="AB45" s="75"/>
    </row>
    <row r="46" spans="1:28">
      <c r="A46" s="6" t="s">
        <v>628</v>
      </c>
      <c r="B46" s="6" t="str">
        <f t="shared" si="0"/>
        <v>Frontier Cars India Pvt Ltd3815</v>
      </c>
      <c r="C46" s="6" t="s">
        <v>18</v>
      </c>
      <c r="D46" s="5">
        <v>10341</v>
      </c>
      <c r="E46" s="5">
        <v>3815</v>
      </c>
      <c r="F46" s="3" t="s">
        <v>889</v>
      </c>
      <c r="G46" s="3" t="s">
        <v>262</v>
      </c>
      <c r="H46" s="3" t="s">
        <v>263</v>
      </c>
      <c r="I46" s="3" t="s">
        <v>467</v>
      </c>
      <c r="J46" s="9">
        <v>0</v>
      </c>
      <c r="K46" s="9">
        <v>0</v>
      </c>
      <c r="L46" s="9">
        <v>0</v>
      </c>
      <c r="M46" s="9">
        <v>50</v>
      </c>
      <c r="N46" s="9">
        <v>80</v>
      </c>
      <c r="O46" s="9">
        <v>0</v>
      </c>
      <c r="P46" s="9">
        <f t="shared" si="2"/>
        <v>0</v>
      </c>
      <c r="Q46" s="18">
        <v>0.73076923076923073</v>
      </c>
      <c r="R46" s="116">
        <v>4.4000000000000004</v>
      </c>
      <c r="S46" s="19" t="str">
        <f t="shared" si="1"/>
        <v>10341 (73%)</v>
      </c>
      <c r="T46" s="9">
        <f t="shared" si="3"/>
        <v>0</v>
      </c>
      <c r="U46" s="20" t="s">
        <v>1043</v>
      </c>
      <c r="V46" s="126" t="s">
        <v>1044</v>
      </c>
      <c r="W46" s="20" t="s">
        <v>1041</v>
      </c>
      <c r="X46" s="18">
        <v>0.90625</v>
      </c>
      <c r="Y46" s="18">
        <v>0.7881997401574804</v>
      </c>
      <c r="Z46" s="116">
        <v>4.5999999999999996</v>
      </c>
      <c r="AA46" s="18"/>
      <c r="AB46" s="75"/>
    </row>
    <row r="47" spans="1:28">
      <c r="A47" s="6" t="s">
        <v>628</v>
      </c>
      <c r="B47" s="6" t="str">
        <f t="shared" si="0"/>
        <v>Frontier Cars India Pvt Ltd3815</v>
      </c>
      <c r="C47" s="6" t="s">
        <v>18</v>
      </c>
      <c r="D47" s="6" t="s">
        <v>97</v>
      </c>
      <c r="E47" s="5">
        <v>3815</v>
      </c>
      <c r="F47" s="3" t="s">
        <v>889</v>
      </c>
      <c r="G47" s="3" t="s">
        <v>914</v>
      </c>
      <c r="H47" s="3" t="s">
        <v>265</v>
      </c>
      <c r="I47" s="3" t="s">
        <v>467</v>
      </c>
      <c r="J47" s="9">
        <v>0</v>
      </c>
      <c r="K47" s="9">
        <v>0</v>
      </c>
      <c r="L47" s="9">
        <v>0</v>
      </c>
      <c r="M47" s="9">
        <v>50</v>
      </c>
      <c r="N47" s="9">
        <v>100</v>
      </c>
      <c r="O47" s="9">
        <v>80</v>
      </c>
      <c r="P47" s="9">
        <f t="shared" si="2"/>
        <v>0</v>
      </c>
      <c r="Q47" s="18">
        <v>0.26923076923076922</v>
      </c>
      <c r="R47" s="116">
        <v>3.8</v>
      </c>
      <c r="S47" s="19" t="str">
        <f t="shared" si="1"/>
        <v>1034101A (27%)</v>
      </c>
      <c r="T47" s="9">
        <f t="shared" si="3"/>
        <v>0</v>
      </c>
      <c r="U47" s="20" t="s">
        <v>1043</v>
      </c>
      <c r="V47" s="126" t="s">
        <v>1045</v>
      </c>
      <c r="W47" s="20" t="s">
        <v>1055</v>
      </c>
      <c r="X47" s="18">
        <v>0.90625</v>
      </c>
      <c r="Y47" s="18" t="s">
        <v>1066</v>
      </c>
      <c r="Z47" s="116">
        <v>5</v>
      </c>
      <c r="AA47" s="18"/>
      <c r="AB47" s="75"/>
    </row>
    <row r="48" spans="1:28">
      <c r="A48" s="6" t="s">
        <v>629</v>
      </c>
      <c r="B48" s="6" t="str">
        <f t="shared" si="0"/>
        <v>Garnet Motors (D) Pvt. Ltd.3766</v>
      </c>
      <c r="C48" s="6" t="s">
        <v>19</v>
      </c>
      <c r="D48" s="118">
        <v>10399</v>
      </c>
      <c r="E48" s="5">
        <v>3766</v>
      </c>
      <c r="F48" s="3" t="s">
        <v>889</v>
      </c>
      <c r="G48" s="3" t="s">
        <v>266</v>
      </c>
      <c r="H48" s="3" t="s">
        <v>915</v>
      </c>
      <c r="I48" s="3" t="s">
        <v>467</v>
      </c>
      <c r="J48" s="9">
        <v>100</v>
      </c>
      <c r="K48" s="9">
        <v>80</v>
      </c>
      <c r="L48" s="9">
        <v>0</v>
      </c>
      <c r="M48" s="9">
        <v>0</v>
      </c>
      <c r="N48" s="9">
        <v>80</v>
      </c>
      <c r="O48" s="9">
        <v>80</v>
      </c>
      <c r="P48" s="9">
        <f t="shared" si="2"/>
        <v>340</v>
      </c>
      <c r="Q48" s="18">
        <v>0.48780487804878048</v>
      </c>
      <c r="R48" s="116">
        <v>4.8</v>
      </c>
      <c r="S48" s="19" t="str">
        <f t="shared" si="1"/>
        <v>10399 (49%)</v>
      </c>
      <c r="T48" s="9">
        <f t="shared" si="3"/>
        <v>166</v>
      </c>
      <c r="U48" s="20" t="s">
        <v>1043</v>
      </c>
      <c r="V48" s="126" t="s">
        <v>1044</v>
      </c>
      <c r="W48" s="20" t="s">
        <v>1041</v>
      </c>
      <c r="X48" s="18">
        <v>1.0515463917525774</v>
      </c>
      <c r="Y48" s="18">
        <v>1.1453661559496153</v>
      </c>
      <c r="Z48" s="116">
        <v>4.6500000000000004</v>
      </c>
      <c r="AA48" s="18"/>
      <c r="AB48" s="75"/>
    </row>
    <row r="49" spans="1:28">
      <c r="A49" s="6" t="s">
        <v>629</v>
      </c>
      <c r="B49" s="6" t="str">
        <f t="shared" si="0"/>
        <v>Garnet Motors (D) Pvt. Ltd.3766</v>
      </c>
      <c r="C49" s="6" t="s">
        <v>19</v>
      </c>
      <c r="D49" s="118" t="s">
        <v>98</v>
      </c>
      <c r="E49" s="5">
        <v>3766</v>
      </c>
      <c r="F49" s="3" t="s">
        <v>889</v>
      </c>
      <c r="G49" s="3" t="s">
        <v>267</v>
      </c>
      <c r="H49" s="3" t="s">
        <v>267</v>
      </c>
      <c r="I49" s="3" t="s">
        <v>467</v>
      </c>
      <c r="J49" s="9">
        <v>100</v>
      </c>
      <c r="K49" s="9">
        <v>80</v>
      </c>
      <c r="L49" s="9">
        <v>0</v>
      </c>
      <c r="M49" s="9">
        <v>0</v>
      </c>
      <c r="N49" s="9">
        <v>80</v>
      </c>
      <c r="O49" s="9">
        <v>0</v>
      </c>
      <c r="P49" s="9">
        <f t="shared" si="2"/>
        <v>260</v>
      </c>
      <c r="Q49" s="18">
        <v>0.24390243902439024</v>
      </c>
      <c r="R49" s="116">
        <v>4.8</v>
      </c>
      <c r="S49" s="19" t="str">
        <f t="shared" si="1"/>
        <v>1039901A (24%)</v>
      </c>
      <c r="T49" s="9">
        <f t="shared" si="3"/>
        <v>63</v>
      </c>
      <c r="U49" s="20" t="s">
        <v>1043</v>
      </c>
      <c r="V49" s="126" t="s">
        <v>1045</v>
      </c>
      <c r="W49" s="20" t="s">
        <v>1055</v>
      </c>
      <c r="X49" s="18">
        <v>1.0515463917525774</v>
      </c>
      <c r="Y49" s="18" t="s">
        <v>1066</v>
      </c>
      <c r="Z49" s="116">
        <v>4.67</v>
      </c>
      <c r="AA49" s="18"/>
      <c r="AB49" s="75"/>
    </row>
    <row r="50" spans="1:28">
      <c r="A50" s="6" t="s">
        <v>630</v>
      </c>
      <c r="B50" s="6" t="str">
        <f t="shared" si="0"/>
        <v>Garve Car Mania Pvt Ltd2294</v>
      </c>
      <c r="C50" s="6" t="s">
        <v>20</v>
      </c>
      <c r="D50" s="5">
        <v>10322</v>
      </c>
      <c r="E50" s="5">
        <v>2294</v>
      </c>
      <c r="F50" s="3" t="s">
        <v>889</v>
      </c>
      <c r="G50" s="3" t="s">
        <v>916</v>
      </c>
      <c r="H50" s="3" t="s">
        <v>208</v>
      </c>
      <c r="I50" s="3" t="s">
        <v>467</v>
      </c>
      <c r="J50" s="9">
        <v>100</v>
      </c>
      <c r="K50" s="9">
        <v>100</v>
      </c>
      <c r="L50" s="9">
        <v>0</v>
      </c>
      <c r="M50" s="9">
        <v>40</v>
      </c>
      <c r="N50" s="9">
        <v>100</v>
      </c>
      <c r="O50" s="9">
        <v>100</v>
      </c>
      <c r="P50" s="9">
        <f t="shared" si="2"/>
        <v>440</v>
      </c>
      <c r="Q50" s="18">
        <v>0.49431818181818182</v>
      </c>
      <c r="R50" s="116">
        <v>4.8</v>
      </c>
      <c r="S50" s="19" t="str">
        <f t="shared" si="1"/>
        <v>10322 (49%)</v>
      </c>
      <c r="T50" s="9">
        <f t="shared" si="3"/>
        <v>218</v>
      </c>
      <c r="U50" s="20" t="s">
        <v>1043</v>
      </c>
      <c r="V50" s="126" t="s">
        <v>1044</v>
      </c>
      <c r="W50" s="20" t="s">
        <v>1041</v>
      </c>
      <c r="X50" s="18">
        <v>1.101010101010101</v>
      </c>
      <c r="Y50" s="18">
        <v>1.1157297199646636</v>
      </c>
      <c r="Z50" s="116">
        <v>4.8600000000000003</v>
      </c>
      <c r="AA50" s="18"/>
      <c r="AB50" s="75"/>
    </row>
    <row r="51" spans="1:28">
      <c r="A51" s="6" t="s">
        <v>630</v>
      </c>
      <c r="B51" s="6" t="str">
        <f t="shared" si="0"/>
        <v>Garve Car Mania Pvt Ltd2294</v>
      </c>
      <c r="C51" s="6" t="s">
        <v>20</v>
      </c>
      <c r="D51" s="6" t="s">
        <v>99</v>
      </c>
      <c r="E51" s="5">
        <v>2294</v>
      </c>
      <c r="F51" s="3" t="s">
        <v>889</v>
      </c>
      <c r="G51" s="3" t="s">
        <v>917</v>
      </c>
      <c r="H51" s="3" t="s">
        <v>208</v>
      </c>
      <c r="I51" s="3" t="s">
        <v>467</v>
      </c>
      <c r="J51" s="9">
        <v>100</v>
      </c>
      <c r="K51" s="9">
        <v>100</v>
      </c>
      <c r="L51" s="9">
        <v>0</v>
      </c>
      <c r="M51" s="9">
        <v>40</v>
      </c>
      <c r="N51" s="9">
        <v>100</v>
      </c>
      <c r="O51" s="9">
        <v>80</v>
      </c>
      <c r="P51" s="9">
        <f t="shared" si="2"/>
        <v>420</v>
      </c>
      <c r="Q51" s="18">
        <v>0.1875</v>
      </c>
      <c r="R51" s="116">
        <v>4.9000000000000004</v>
      </c>
      <c r="S51" s="19" t="str">
        <f t="shared" si="1"/>
        <v>1032201A (19%)</v>
      </c>
      <c r="T51" s="9">
        <f t="shared" si="3"/>
        <v>79</v>
      </c>
      <c r="U51" s="20" t="s">
        <v>1043</v>
      </c>
      <c r="V51" s="126" t="s">
        <v>1045</v>
      </c>
      <c r="W51" s="20" t="s">
        <v>1055</v>
      </c>
      <c r="X51" s="18">
        <v>1.101010101010101</v>
      </c>
      <c r="Y51" s="18" t="s">
        <v>1066</v>
      </c>
      <c r="Z51" s="116">
        <v>4.96</v>
      </c>
      <c r="AA51" s="18"/>
      <c r="AB51" s="75"/>
    </row>
    <row r="52" spans="1:28">
      <c r="A52" s="6" t="s">
        <v>630</v>
      </c>
      <c r="B52" s="6" t="str">
        <f t="shared" si="0"/>
        <v>Garve Car Mania Pvt Ltd2294</v>
      </c>
      <c r="C52" s="6" t="s">
        <v>20</v>
      </c>
      <c r="D52" s="6" t="s">
        <v>100</v>
      </c>
      <c r="E52" s="5">
        <v>2294</v>
      </c>
      <c r="F52" s="3" t="s">
        <v>889</v>
      </c>
      <c r="G52" s="3" t="s">
        <v>270</v>
      </c>
      <c r="H52" s="3" t="s">
        <v>271</v>
      </c>
      <c r="I52" s="3" t="s">
        <v>467</v>
      </c>
      <c r="J52" s="9">
        <v>100</v>
      </c>
      <c r="K52" s="9">
        <v>80</v>
      </c>
      <c r="L52" s="9">
        <v>0</v>
      </c>
      <c r="M52" s="9">
        <v>40</v>
      </c>
      <c r="N52" s="9">
        <v>100</v>
      </c>
      <c r="O52" s="9">
        <v>100</v>
      </c>
      <c r="P52" s="9">
        <f t="shared" si="2"/>
        <v>420</v>
      </c>
      <c r="Q52" s="18">
        <v>9.6590909090909088E-2</v>
      </c>
      <c r="R52" s="116">
        <v>5</v>
      </c>
      <c r="S52" s="19" t="str">
        <f t="shared" si="1"/>
        <v>1032202A (10%)</v>
      </c>
      <c r="T52" s="9">
        <f t="shared" si="3"/>
        <v>41</v>
      </c>
      <c r="U52" s="20" t="s">
        <v>1043</v>
      </c>
      <c r="V52" s="126" t="s">
        <v>1045</v>
      </c>
      <c r="W52" s="20" t="s">
        <v>1055</v>
      </c>
      <c r="X52" s="18">
        <v>1.101010101010101</v>
      </c>
      <c r="Y52" s="18" t="s">
        <v>1066</v>
      </c>
      <c r="Z52" s="116">
        <v>4.8600000000000003</v>
      </c>
      <c r="AA52" s="18"/>
      <c r="AB52" s="75"/>
    </row>
    <row r="53" spans="1:28">
      <c r="A53" s="6" t="s">
        <v>630</v>
      </c>
      <c r="B53" s="6" t="str">
        <f t="shared" si="0"/>
        <v>Garve Car Mania Pvt Ltd2294</v>
      </c>
      <c r="C53" s="6" t="s">
        <v>20</v>
      </c>
      <c r="D53" s="6" t="s">
        <v>101</v>
      </c>
      <c r="E53" s="5">
        <v>2294</v>
      </c>
      <c r="F53" s="3" t="s">
        <v>889</v>
      </c>
      <c r="G53" s="3" t="s">
        <v>272</v>
      </c>
      <c r="H53" s="3" t="s">
        <v>208</v>
      </c>
      <c r="I53" s="3" t="s">
        <v>467</v>
      </c>
      <c r="J53" s="9">
        <v>100</v>
      </c>
      <c r="K53" s="9">
        <v>100</v>
      </c>
      <c r="L53" s="9">
        <v>0</v>
      </c>
      <c r="M53" s="9">
        <v>40</v>
      </c>
      <c r="N53" s="9">
        <v>100</v>
      </c>
      <c r="O53" s="9">
        <v>80</v>
      </c>
      <c r="P53" s="9">
        <f t="shared" si="2"/>
        <v>420</v>
      </c>
      <c r="Q53" s="18">
        <v>0.22159090909090909</v>
      </c>
      <c r="R53" s="116">
        <v>4.9000000000000004</v>
      </c>
      <c r="S53" s="19" t="str">
        <f t="shared" si="1"/>
        <v>1032203A (22%)</v>
      </c>
      <c r="T53" s="9">
        <f t="shared" si="3"/>
        <v>93</v>
      </c>
      <c r="U53" s="20" t="s">
        <v>1043</v>
      </c>
      <c r="V53" s="126" t="s">
        <v>1045</v>
      </c>
      <c r="W53" s="20" t="s">
        <v>1055</v>
      </c>
      <c r="X53" s="18">
        <v>1.101010101010101</v>
      </c>
      <c r="Y53" s="18" t="s">
        <v>1066</v>
      </c>
      <c r="Z53" s="116">
        <v>4.88</v>
      </c>
      <c r="AA53" s="18"/>
      <c r="AB53" s="75"/>
    </row>
    <row r="54" spans="1:28">
      <c r="A54" s="6" t="s">
        <v>631</v>
      </c>
      <c r="B54" s="6" t="str">
        <f t="shared" si="0"/>
        <v>Gem Phoenix Auto Pvt Ltd2266</v>
      </c>
      <c r="C54" s="6" t="s">
        <v>21</v>
      </c>
      <c r="D54" s="6" t="s">
        <v>102</v>
      </c>
      <c r="E54" s="5">
        <v>2266</v>
      </c>
      <c r="F54" s="3" t="s">
        <v>890</v>
      </c>
      <c r="G54" s="3" t="s">
        <v>918</v>
      </c>
      <c r="H54" s="3" t="s">
        <v>274</v>
      </c>
      <c r="I54" s="3" t="s">
        <v>465</v>
      </c>
      <c r="J54" s="9">
        <v>80</v>
      </c>
      <c r="K54" s="9">
        <v>80</v>
      </c>
      <c r="L54" s="9">
        <v>0</v>
      </c>
      <c r="M54" s="9">
        <v>0</v>
      </c>
      <c r="N54" s="9">
        <v>100</v>
      </c>
      <c r="O54" s="9">
        <v>0</v>
      </c>
      <c r="P54" s="9">
        <f t="shared" si="2"/>
        <v>260</v>
      </c>
      <c r="Q54" s="18">
        <v>0.17647058823529413</v>
      </c>
      <c r="R54" s="116">
        <v>4.8</v>
      </c>
      <c r="S54" s="19" t="str">
        <f t="shared" si="1"/>
        <v>2036601C (18%)</v>
      </c>
      <c r="T54" s="9">
        <f t="shared" si="3"/>
        <v>46</v>
      </c>
      <c r="U54" s="20" t="s">
        <v>1043</v>
      </c>
      <c r="V54" s="126" t="s">
        <v>1044</v>
      </c>
      <c r="W54" s="20" t="s">
        <v>1057</v>
      </c>
      <c r="X54" s="18">
        <v>1.2295081967213115</v>
      </c>
      <c r="Y54" s="18">
        <v>1.0094327573529422</v>
      </c>
      <c r="Z54" s="116">
        <v>5</v>
      </c>
      <c r="AA54" s="18"/>
      <c r="AB54" s="75"/>
    </row>
    <row r="55" spans="1:28">
      <c r="A55" s="6" t="s">
        <v>631</v>
      </c>
      <c r="B55" s="6" t="str">
        <f t="shared" si="0"/>
        <v>Gem Phoenix Auto Pvt Ltd2266</v>
      </c>
      <c r="C55" s="6" t="s">
        <v>21</v>
      </c>
      <c r="D55" s="6" t="s">
        <v>103</v>
      </c>
      <c r="E55" s="5">
        <v>2266</v>
      </c>
      <c r="F55" s="3" t="s">
        <v>890</v>
      </c>
      <c r="G55" s="3" t="s">
        <v>275</v>
      </c>
      <c r="H55" s="3" t="s">
        <v>276</v>
      </c>
      <c r="I55" s="3" t="s">
        <v>465</v>
      </c>
      <c r="J55" s="9">
        <v>80</v>
      </c>
      <c r="K55" s="9">
        <v>80</v>
      </c>
      <c r="L55" s="9">
        <v>0</v>
      </c>
      <c r="M55" s="9">
        <v>0</v>
      </c>
      <c r="N55" s="9">
        <v>100</v>
      </c>
      <c r="O55" s="9">
        <v>80</v>
      </c>
      <c r="P55" s="9">
        <f t="shared" si="2"/>
        <v>340</v>
      </c>
      <c r="Q55" s="18">
        <v>0.16176470588235295</v>
      </c>
      <c r="R55" s="116">
        <v>4.7</v>
      </c>
      <c r="S55" s="19" t="str">
        <f t="shared" si="1"/>
        <v>1036602A (16%)</v>
      </c>
      <c r="T55" s="9">
        <f t="shared" si="3"/>
        <v>55</v>
      </c>
      <c r="U55" s="20" t="s">
        <v>1043</v>
      </c>
      <c r="V55" s="126" t="s">
        <v>1045</v>
      </c>
      <c r="W55" s="20" t="s">
        <v>1055</v>
      </c>
      <c r="X55" s="18">
        <v>1.2295081967213115</v>
      </c>
      <c r="Y55" s="18" t="s">
        <v>1066</v>
      </c>
      <c r="Z55" s="116">
        <v>5</v>
      </c>
      <c r="AA55" s="18"/>
      <c r="AB55" s="75"/>
    </row>
    <row r="56" spans="1:28">
      <c r="A56" s="6" t="s">
        <v>631</v>
      </c>
      <c r="B56" s="6" t="str">
        <f t="shared" si="0"/>
        <v>Gem Phoenix Auto Pvt Ltd2266</v>
      </c>
      <c r="C56" s="6" t="s">
        <v>21</v>
      </c>
      <c r="D56" s="6" t="s">
        <v>104</v>
      </c>
      <c r="E56" s="5">
        <v>2266</v>
      </c>
      <c r="F56" s="3" t="s">
        <v>890</v>
      </c>
      <c r="G56" s="3" t="s">
        <v>919</v>
      </c>
      <c r="H56" s="3" t="s">
        <v>278</v>
      </c>
      <c r="I56" s="3" t="s">
        <v>465</v>
      </c>
      <c r="J56" s="9">
        <v>0</v>
      </c>
      <c r="K56" s="9">
        <v>0</v>
      </c>
      <c r="L56" s="9">
        <v>0</v>
      </c>
      <c r="M56" s="9">
        <v>0</v>
      </c>
      <c r="N56" s="9">
        <v>100</v>
      </c>
      <c r="O56" s="9">
        <v>100</v>
      </c>
      <c r="P56" s="9">
        <f t="shared" si="2"/>
        <v>200</v>
      </c>
      <c r="Q56" s="18">
        <v>0.11764705882352941</v>
      </c>
      <c r="R56" s="116">
        <v>4.8</v>
      </c>
      <c r="S56" s="19" t="str">
        <f t="shared" si="1"/>
        <v>2036603C (12%)</v>
      </c>
      <c r="T56" s="9">
        <f t="shared" si="3"/>
        <v>24</v>
      </c>
      <c r="U56" s="20" t="s">
        <v>1043</v>
      </c>
      <c r="V56" s="126" t="s">
        <v>1044</v>
      </c>
      <c r="W56" s="20" t="s">
        <v>1057</v>
      </c>
      <c r="X56" s="18">
        <v>1.2295081967213115</v>
      </c>
      <c r="Y56" s="18">
        <v>1.0094327573529422</v>
      </c>
      <c r="Z56" s="116">
        <v>5</v>
      </c>
      <c r="AA56" s="18"/>
      <c r="AB56" s="75"/>
    </row>
    <row r="57" spans="1:28">
      <c r="A57" s="6" t="s">
        <v>631</v>
      </c>
      <c r="B57" s="6" t="str">
        <f t="shared" si="0"/>
        <v>Gem Phoenix Auto Pvt Ltd2266</v>
      </c>
      <c r="C57" s="6" t="s">
        <v>21</v>
      </c>
      <c r="D57" s="6">
        <v>10366</v>
      </c>
      <c r="E57" s="5">
        <v>2266</v>
      </c>
      <c r="F57" s="3" t="s">
        <v>890</v>
      </c>
      <c r="G57" s="3" t="s">
        <v>279</v>
      </c>
      <c r="H57" s="3" t="s">
        <v>279</v>
      </c>
      <c r="I57" s="3" t="s">
        <v>465</v>
      </c>
      <c r="J57" s="9">
        <v>100</v>
      </c>
      <c r="K57" s="9">
        <v>100</v>
      </c>
      <c r="L57" s="9">
        <v>0</v>
      </c>
      <c r="M57" s="9">
        <v>0</v>
      </c>
      <c r="N57" s="9">
        <v>100</v>
      </c>
      <c r="O57" s="9">
        <v>100</v>
      </c>
      <c r="P57" s="9">
        <f t="shared" si="2"/>
        <v>400</v>
      </c>
      <c r="Q57" s="18">
        <v>0.54411764705882348</v>
      </c>
      <c r="R57" s="116">
        <v>4.7</v>
      </c>
      <c r="S57" s="19" t="str">
        <f t="shared" si="1"/>
        <v>10366 (54%)</v>
      </c>
      <c r="T57" s="9">
        <f t="shared" si="3"/>
        <v>218</v>
      </c>
      <c r="U57" s="20" t="s">
        <v>1043</v>
      </c>
      <c r="V57" s="126" t="s">
        <v>1044</v>
      </c>
      <c r="W57" s="20" t="s">
        <v>1041</v>
      </c>
      <c r="X57" s="18">
        <v>1.2295081967213115</v>
      </c>
      <c r="Y57" s="18">
        <v>1.0094327573529422</v>
      </c>
      <c r="Z57" s="116">
        <v>4.88</v>
      </c>
      <c r="AA57" s="18"/>
      <c r="AB57" s="75"/>
    </row>
    <row r="58" spans="1:28">
      <c r="A58" s="6" t="s">
        <v>1097</v>
      </c>
      <c r="B58" s="6" t="str">
        <f t="shared" si="0"/>
        <v>(Global) Fulcrum Autoline Pvt Ltd3258</v>
      </c>
      <c r="C58" s="6" t="s">
        <v>1098</v>
      </c>
      <c r="D58" s="5">
        <v>10425</v>
      </c>
      <c r="E58" s="5">
        <v>3258</v>
      </c>
      <c r="F58" s="3" t="s">
        <v>890</v>
      </c>
      <c r="G58" s="3" t="s">
        <v>920</v>
      </c>
      <c r="H58" s="3" t="s">
        <v>281</v>
      </c>
      <c r="I58" s="3" t="s">
        <v>459</v>
      </c>
      <c r="J58" s="9">
        <v>100</v>
      </c>
      <c r="K58" s="9">
        <v>80</v>
      </c>
      <c r="L58" s="9">
        <v>0</v>
      </c>
      <c r="M58" s="9">
        <v>0</v>
      </c>
      <c r="N58" s="9">
        <v>0</v>
      </c>
      <c r="O58" s="9">
        <v>0</v>
      </c>
      <c r="P58" s="9">
        <f t="shared" si="2"/>
        <v>0</v>
      </c>
      <c r="Q58" s="18">
        <v>0</v>
      </c>
      <c r="R58" s="116">
        <v>4.5999999999999996</v>
      </c>
      <c r="S58" s="19" t="str">
        <f t="shared" si="1"/>
        <v>10425 (0%)</v>
      </c>
      <c r="T58" s="9">
        <f t="shared" si="3"/>
        <v>0</v>
      </c>
      <c r="U58" s="20" t="s">
        <v>1043</v>
      </c>
      <c r="V58" s="126" t="s">
        <v>1044</v>
      </c>
      <c r="W58" s="20" t="s">
        <v>1041</v>
      </c>
      <c r="X58" s="18">
        <v>0</v>
      </c>
      <c r="Y58" s="18">
        <v>0</v>
      </c>
      <c r="Z58" s="116">
        <v>0</v>
      </c>
      <c r="AA58" s="18"/>
      <c r="AB58" s="75"/>
    </row>
    <row r="59" spans="1:28">
      <c r="A59" s="6" t="s">
        <v>1097</v>
      </c>
      <c r="B59" s="6" t="str">
        <f t="shared" si="0"/>
        <v>(Global) Fulcrum Autoline Pvt Ltd3258</v>
      </c>
      <c r="C59" s="6" t="s">
        <v>1098</v>
      </c>
      <c r="D59" s="6" t="s">
        <v>1099</v>
      </c>
      <c r="E59" s="5">
        <v>3258</v>
      </c>
      <c r="F59" s="3" t="s">
        <v>890</v>
      </c>
      <c r="G59" s="3" t="s">
        <v>921</v>
      </c>
      <c r="H59" s="3" t="s">
        <v>281</v>
      </c>
      <c r="I59" s="3" t="s">
        <v>459</v>
      </c>
      <c r="J59" s="9">
        <v>100</v>
      </c>
      <c r="K59" s="9">
        <v>80</v>
      </c>
      <c r="L59" s="9">
        <v>0</v>
      </c>
      <c r="M59" s="9">
        <v>0</v>
      </c>
      <c r="N59" s="9">
        <v>0</v>
      </c>
      <c r="O59" s="9">
        <v>80</v>
      </c>
      <c r="P59" s="9">
        <f t="shared" si="2"/>
        <v>0</v>
      </c>
      <c r="Q59" s="18">
        <v>0</v>
      </c>
      <c r="R59" s="116">
        <v>4.7</v>
      </c>
      <c r="S59" s="19" t="str">
        <f t="shared" si="1"/>
        <v>1042501A (0%)</v>
      </c>
      <c r="T59" s="9">
        <f t="shared" si="3"/>
        <v>0</v>
      </c>
      <c r="U59" s="20" t="s">
        <v>1043</v>
      </c>
      <c r="V59" s="126" t="s">
        <v>1045</v>
      </c>
      <c r="W59" s="20" t="s">
        <v>1055</v>
      </c>
      <c r="X59" s="18">
        <v>0</v>
      </c>
      <c r="Y59" s="18">
        <v>0</v>
      </c>
      <c r="Z59" s="116">
        <v>0</v>
      </c>
      <c r="AA59" s="18"/>
      <c r="AB59" s="75"/>
    </row>
    <row r="60" spans="1:28">
      <c r="A60" s="6" t="s">
        <v>1097</v>
      </c>
      <c r="B60" s="6" t="str">
        <f t="shared" si="0"/>
        <v>(Global) Fulcrum Autoline Pvt Ltd3258</v>
      </c>
      <c r="C60" s="6" t="s">
        <v>1098</v>
      </c>
      <c r="D60" s="6" t="s">
        <v>1100</v>
      </c>
      <c r="E60" s="5">
        <v>3258</v>
      </c>
      <c r="F60" s="3" t="s">
        <v>890</v>
      </c>
      <c r="G60" s="3" t="s">
        <v>283</v>
      </c>
      <c r="H60" s="3" t="s">
        <v>284</v>
      </c>
      <c r="I60" s="3" t="s">
        <v>459</v>
      </c>
      <c r="J60" s="9">
        <v>0</v>
      </c>
      <c r="K60" s="9">
        <v>0</v>
      </c>
      <c r="L60" s="9">
        <v>0</v>
      </c>
      <c r="M60" s="9">
        <v>0</v>
      </c>
      <c r="N60" s="9">
        <v>0</v>
      </c>
      <c r="O60" s="9">
        <v>80</v>
      </c>
      <c r="P60" s="9">
        <f t="shared" si="2"/>
        <v>0</v>
      </c>
      <c r="Q60" s="18">
        <v>0</v>
      </c>
      <c r="R60" s="116">
        <v>4.9000000000000004</v>
      </c>
      <c r="S60" s="19" t="str">
        <f t="shared" ref="S60:S120" si="4">_xlfn.CONCAT(D60," (",TEXT(Q60,"0%"),")")</f>
        <v>1042503A (0%)</v>
      </c>
      <c r="T60" s="9">
        <f t="shared" si="3"/>
        <v>0</v>
      </c>
      <c r="U60" s="20" t="s">
        <v>1043</v>
      </c>
      <c r="V60" s="126" t="s">
        <v>1045</v>
      </c>
      <c r="W60" s="20" t="s">
        <v>1055</v>
      </c>
      <c r="X60" s="18">
        <v>0</v>
      </c>
      <c r="Y60" s="18">
        <v>0</v>
      </c>
      <c r="Z60" s="116">
        <v>0</v>
      </c>
      <c r="AA60" s="18"/>
      <c r="AB60" s="75"/>
    </row>
    <row r="61" spans="1:28">
      <c r="A61" s="6" t="s">
        <v>1097</v>
      </c>
      <c r="B61" s="6" t="str">
        <f t="shared" si="0"/>
        <v>(Global) Fulcrum Autoline Pvt Ltd3258</v>
      </c>
      <c r="C61" s="6" t="s">
        <v>1098</v>
      </c>
      <c r="D61" s="6" t="s">
        <v>1101</v>
      </c>
      <c r="E61" s="5">
        <v>3258</v>
      </c>
      <c r="F61" s="3" t="s">
        <v>890</v>
      </c>
      <c r="G61" s="3" t="s">
        <v>922</v>
      </c>
      <c r="H61" s="3" t="s">
        <v>286</v>
      </c>
      <c r="I61" s="3" t="s">
        <v>459</v>
      </c>
      <c r="J61" s="9">
        <v>0</v>
      </c>
      <c r="K61" s="9">
        <v>100</v>
      </c>
      <c r="L61" s="9">
        <v>0</v>
      </c>
      <c r="M61" s="9">
        <v>0</v>
      </c>
      <c r="N61" s="9">
        <v>0</v>
      </c>
      <c r="O61" s="9">
        <v>0</v>
      </c>
      <c r="P61" s="9">
        <f t="shared" si="2"/>
        <v>0</v>
      </c>
      <c r="Q61" s="18">
        <v>0</v>
      </c>
      <c r="R61" s="116">
        <v>4.7</v>
      </c>
      <c r="S61" s="19" t="str">
        <f t="shared" si="4"/>
        <v>1042502A (0%)</v>
      </c>
      <c r="T61" s="9">
        <f t="shared" si="3"/>
        <v>0</v>
      </c>
      <c r="U61" s="20" t="s">
        <v>1043</v>
      </c>
      <c r="V61" s="126" t="s">
        <v>1044</v>
      </c>
      <c r="W61" s="20" t="s">
        <v>1056</v>
      </c>
      <c r="X61" s="18">
        <v>0</v>
      </c>
      <c r="Y61" s="18">
        <v>0</v>
      </c>
      <c r="Z61" s="116">
        <v>0</v>
      </c>
      <c r="AA61" s="18"/>
      <c r="AB61" s="75"/>
    </row>
    <row r="62" spans="1:28">
      <c r="A62" s="6" t="s">
        <v>1097</v>
      </c>
      <c r="B62" s="6" t="str">
        <f t="shared" si="0"/>
        <v>(Global) Fulcrum Autoline Pvt Ltd3258</v>
      </c>
      <c r="C62" s="6" t="s">
        <v>1098</v>
      </c>
      <c r="D62" s="5" t="s">
        <v>1102</v>
      </c>
      <c r="E62" s="5">
        <v>3258</v>
      </c>
      <c r="F62" s="3" t="s">
        <v>890</v>
      </c>
      <c r="G62" s="3" t="s">
        <v>287</v>
      </c>
      <c r="H62" s="3" t="s">
        <v>288</v>
      </c>
      <c r="I62" s="3" t="s">
        <v>459</v>
      </c>
      <c r="J62" s="9">
        <v>0</v>
      </c>
      <c r="K62" s="9">
        <v>80</v>
      </c>
      <c r="L62" s="9">
        <v>0</v>
      </c>
      <c r="M62" s="9">
        <v>0</v>
      </c>
      <c r="N62" s="9">
        <v>0</v>
      </c>
      <c r="O62" s="9">
        <v>80</v>
      </c>
      <c r="P62" s="9">
        <f t="shared" si="2"/>
        <v>0</v>
      </c>
      <c r="Q62" s="18">
        <v>0</v>
      </c>
      <c r="R62" s="116">
        <v>4.9000000000000004</v>
      </c>
      <c r="S62" s="19" t="str">
        <f t="shared" si="4"/>
        <v>2042504C (0%)</v>
      </c>
      <c r="T62" s="9">
        <f t="shared" si="3"/>
        <v>0</v>
      </c>
      <c r="U62" s="20" t="s">
        <v>1043</v>
      </c>
      <c r="V62" s="126" t="s">
        <v>1044</v>
      </c>
      <c r="W62" s="20" t="s">
        <v>1058</v>
      </c>
      <c r="X62" s="18">
        <v>0</v>
      </c>
      <c r="Y62" s="18">
        <v>0</v>
      </c>
      <c r="Z62" s="116">
        <v>0</v>
      </c>
      <c r="AA62" s="18"/>
      <c r="AB62" s="75"/>
    </row>
    <row r="63" spans="1:28">
      <c r="A63" s="6" t="s">
        <v>633</v>
      </c>
      <c r="B63" s="6" t="str">
        <f t="shared" ref="B63:B120" si="5">_xlfn.CONCAT(C63,E63)</f>
        <v>Gurudev Motors Pvt. Ltd1453</v>
      </c>
      <c r="C63" s="6" t="s">
        <v>23</v>
      </c>
      <c r="D63" s="5">
        <v>23039</v>
      </c>
      <c r="E63" s="5">
        <v>1453</v>
      </c>
      <c r="F63" s="3" t="s">
        <v>890</v>
      </c>
      <c r="G63" s="3" t="s">
        <v>289</v>
      </c>
      <c r="H63" s="3" t="s">
        <v>290</v>
      </c>
      <c r="I63" s="3" t="s">
        <v>462</v>
      </c>
      <c r="J63" s="9">
        <v>100</v>
      </c>
      <c r="K63" s="9">
        <v>0</v>
      </c>
      <c r="L63" s="9">
        <v>0</v>
      </c>
      <c r="M63" s="9">
        <v>50</v>
      </c>
      <c r="N63" s="9">
        <v>100</v>
      </c>
      <c r="O63" s="9">
        <v>80</v>
      </c>
      <c r="P63" s="9">
        <f t="shared" si="2"/>
        <v>0</v>
      </c>
      <c r="Q63" s="18">
        <v>0.26896551724137929</v>
      </c>
      <c r="R63" s="116">
        <v>4.5999999999999996</v>
      </c>
      <c r="S63" s="19" t="str">
        <f t="shared" si="4"/>
        <v>23039 (27%)</v>
      </c>
      <c r="T63" s="9">
        <f t="shared" si="3"/>
        <v>0</v>
      </c>
      <c r="U63" s="20" t="s">
        <v>1043</v>
      </c>
      <c r="V63" s="126" t="s">
        <v>1044</v>
      </c>
      <c r="W63" s="20" t="s">
        <v>1040</v>
      </c>
      <c r="X63" s="18">
        <v>1.1716417910447761</v>
      </c>
      <c r="Y63" s="18">
        <v>0.90835819661190953</v>
      </c>
      <c r="Z63" s="116">
        <v>4.9000000000000004</v>
      </c>
      <c r="AA63" s="18"/>
      <c r="AB63" s="75"/>
    </row>
    <row r="64" spans="1:28">
      <c r="A64" s="6" t="s">
        <v>633</v>
      </c>
      <c r="B64" s="6" t="str">
        <f t="shared" si="5"/>
        <v>Gurudev Motors Pvt. Ltd1453</v>
      </c>
      <c r="C64" s="6" t="s">
        <v>23</v>
      </c>
      <c r="D64" s="5">
        <v>10118</v>
      </c>
      <c r="E64" s="5">
        <v>1453</v>
      </c>
      <c r="F64" s="3" t="s">
        <v>890</v>
      </c>
      <c r="G64" s="3" t="s">
        <v>865</v>
      </c>
      <c r="H64" s="3" t="s">
        <v>292</v>
      </c>
      <c r="I64" s="3" t="s">
        <v>462</v>
      </c>
      <c r="J64" s="9">
        <v>100</v>
      </c>
      <c r="K64" s="9">
        <v>100</v>
      </c>
      <c r="L64" s="9">
        <v>0</v>
      </c>
      <c r="M64" s="9">
        <v>0</v>
      </c>
      <c r="N64" s="9">
        <v>100</v>
      </c>
      <c r="O64" s="9">
        <v>80</v>
      </c>
      <c r="P64" s="9">
        <f t="shared" si="2"/>
        <v>0</v>
      </c>
      <c r="Q64" s="18">
        <v>0.1103448275862069</v>
      </c>
      <c r="R64" s="116">
        <v>4.5999999999999996</v>
      </c>
      <c r="S64" s="19" t="str">
        <f t="shared" si="4"/>
        <v>10118 (11%)</v>
      </c>
      <c r="T64" s="9">
        <f t="shared" si="3"/>
        <v>0</v>
      </c>
      <c r="U64" s="20" t="s">
        <v>1043</v>
      </c>
      <c r="V64" s="126" t="s">
        <v>1044</v>
      </c>
      <c r="W64" s="20" t="s">
        <v>1040</v>
      </c>
      <c r="X64" s="18">
        <v>1.1716417910447761</v>
      </c>
      <c r="Y64" s="18">
        <v>0.90835819661190953</v>
      </c>
      <c r="Z64" s="116">
        <v>5</v>
      </c>
      <c r="AA64" s="18"/>
      <c r="AB64" s="75"/>
    </row>
    <row r="65" spans="1:28">
      <c r="A65" s="6" t="s">
        <v>633</v>
      </c>
      <c r="B65" s="6" t="str">
        <f t="shared" si="5"/>
        <v>Gurudev Motors Pvt. Ltd1453</v>
      </c>
      <c r="C65" s="6" t="s">
        <v>23</v>
      </c>
      <c r="D65" s="5">
        <v>20061</v>
      </c>
      <c r="E65" s="5">
        <v>1453</v>
      </c>
      <c r="F65" s="3" t="s">
        <v>890</v>
      </c>
      <c r="G65" s="3" t="s">
        <v>293</v>
      </c>
      <c r="H65" s="3" t="s">
        <v>294</v>
      </c>
      <c r="I65" s="3" t="s">
        <v>462</v>
      </c>
      <c r="J65" s="9">
        <v>100</v>
      </c>
      <c r="K65" s="9">
        <v>80</v>
      </c>
      <c r="L65" s="9">
        <v>50</v>
      </c>
      <c r="M65" s="9">
        <v>50</v>
      </c>
      <c r="N65" s="9">
        <v>80</v>
      </c>
      <c r="O65" s="9">
        <v>80</v>
      </c>
      <c r="P65" s="9">
        <f t="shared" si="2"/>
        <v>440</v>
      </c>
      <c r="Q65" s="18">
        <v>7.586206896551724E-2</v>
      </c>
      <c r="R65" s="116">
        <v>4.7</v>
      </c>
      <c r="S65" s="19" t="str">
        <f t="shared" si="4"/>
        <v>20061 (8%)</v>
      </c>
      <c r="T65" s="9">
        <f t="shared" ref="T65:T126" si="6">ROUND((P65*Q65),0)</f>
        <v>33</v>
      </c>
      <c r="U65" s="20" t="s">
        <v>1043</v>
      </c>
      <c r="V65" s="126" t="s">
        <v>1044</v>
      </c>
      <c r="W65" s="20" t="s">
        <v>1040</v>
      </c>
      <c r="X65" s="18">
        <v>1.1716417910447761</v>
      </c>
      <c r="Y65" s="18">
        <v>0.90835819661190953</v>
      </c>
      <c r="Z65" s="116">
        <v>4.83</v>
      </c>
      <c r="AA65" s="18"/>
      <c r="AB65" s="75"/>
    </row>
    <row r="66" spans="1:28">
      <c r="A66" s="6" t="s">
        <v>633</v>
      </c>
      <c r="B66" s="6" t="str">
        <f t="shared" si="5"/>
        <v>Gurudev Motors Pvt. Ltd1453</v>
      </c>
      <c r="C66" s="6" t="s">
        <v>23</v>
      </c>
      <c r="D66" s="6" t="s">
        <v>109</v>
      </c>
      <c r="E66" s="5">
        <v>1453</v>
      </c>
      <c r="F66" s="3" t="s">
        <v>890</v>
      </c>
      <c r="G66" s="3" t="s">
        <v>923</v>
      </c>
      <c r="H66" s="3" t="s">
        <v>296</v>
      </c>
      <c r="I66" s="3" t="s">
        <v>462</v>
      </c>
      <c r="J66" s="9">
        <v>100</v>
      </c>
      <c r="K66" s="9">
        <v>100</v>
      </c>
      <c r="L66" s="9">
        <v>0</v>
      </c>
      <c r="M66" s="9">
        <v>0</v>
      </c>
      <c r="N66" s="9">
        <v>100</v>
      </c>
      <c r="O66" s="9">
        <v>0</v>
      </c>
      <c r="P66" s="9">
        <f t="shared" si="2"/>
        <v>300</v>
      </c>
      <c r="Q66" s="18">
        <v>6.8965517241379309E-2</v>
      </c>
      <c r="R66" s="116">
        <v>4.8</v>
      </c>
      <c r="S66" s="19" t="str">
        <f t="shared" si="4"/>
        <v>1011801C (7%)</v>
      </c>
      <c r="T66" s="9">
        <f t="shared" si="6"/>
        <v>21</v>
      </c>
      <c r="U66" s="20" t="s">
        <v>1043</v>
      </c>
      <c r="V66" s="126" t="s">
        <v>1044</v>
      </c>
      <c r="W66" s="20" t="s">
        <v>1057</v>
      </c>
      <c r="X66" s="18">
        <v>1.1716417910447761</v>
      </c>
      <c r="Y66" s="18">
        <v>0.90835819661190953</v>
      </c>
      <c r="Z66" s="116">
        <v>5</v>
      </c>
      <c r="AA66" s="18"/>
      <c r="AB66" s="75"/>
    </row>
    <row r="67" spans="1:28">
      <c r="A67" s="6" t="s">
        <v>633</v>
      </c>
      <c r="B67" s="6" t="str">
        <f t="shared" si="5"/>
        <v>Gurudev Motors Pvt. Ltd1453</v>
      </c>
      <c r="C67" s="6" t="s">
        <v>23</v>
      </c>
      <c r="D67" s="6" t="s">
        <v>110</v>
      </c>
      <c r="E67" s="5">
        <v>1453</v>
      </c>
      <c r="F67" s="3" t="s">
        <v>890</v>
      </c>
      <c r="G67" s="3" t="s">
        <v>297</v>
      </c>
      <c r="H67" s="3" t="s">
        <v>290</v>
      </c>
      <c r="I67" s="3" t="s">
        <v>462</v>
      </c>
      <c r="J67" s="9">
        <v>100</v>
      </c>
      <c r="K67" s="9">
        <v>0</v>
      </c>
      <c r="L67" s="9">
        <v>0</v>
      </c>
      <c r="M67" s="9">
        <v>50</v>
      </c>
      <c r="N67" s="9">
        <v>80</v>
      </c>
      <c r="O67" s="9">
        <v>80</v>
      </c>
      <c r="P67" s="9">
        <f t="shared" si="2"/>
        <v>310</v>
      </c>
      <c r="Q67" s="18">
        <v>0.1103448275862069</v>
      </c>
      <c r="R67" s="116">
        <v>4.8</v>
      </c>
      <c r="S67" s="19" t="str">
        <f t="shared" si="4"/>
        <v>2303901A (11%)</v>
      </c>
      <c r="T67" s="9">
        <f t="shared" si="6"/>
        <v>34</v>
      </c>
      <c r="U67" s="20" t="s">
        <v>1043</v>
      </c>
      <c r="V67" s="126" t="s">
        <v>1045</v>
      </c>
      <c r="W67" s="20" t="s">
        <v>1055</v>
      </c>
      <c r="X67" s="18">
        <v>1.1716417910447761</v>
      </c>
      <c r="Y67" s="18" t="s">
        <v>1066</v>
      </c>
      <c r="Z67" s="116">
        <v>4.75</v>
      </c>
      <c r="AA67" s="18"/>
      <c r="AB67" s="75"/>
    </row>
    <row r="68" spans="1:28">
      <c r="A68" s="6" t="s">
        <v>633</v>
      </c>
      <c r="B68" s="6" t="str">
        <f t="shared" si="5"/>
        <v>Gurudev Motors Pvt. Ltd1453</v>
      </c>
      <c r="C68" s="6" t="s">
        <v>23</v>
      </c>
      <c r="D68" s="6" t="s">
        <v>111</v>
      </c>
      <c r="E68" s="5">
        <v>1453</v>
      </c>
      <c r="F68" s="3" t="s">
        <v>890</v>
      </c>
      <c r="G68" s="3" t="s">
        <v>924</v>
      </c>
      <c r="H68" s="3" t="s">
        <v>290</v>
      </c>
      <c r="I68" s="3" t="s">
        <v>462</v>
      </c>
      <c r="J68" s="9">
        <v>100</v>
      </c>
      <c r="K68" s="9">
        <v>80</v>
      </c>
      <c r="L68" s="9">
        <v>0</v>
      </c>
      <c r="M68" s="9">
        <v>50</v>
      </c>
      <c r="N68" s="9">
        <v>80</v>
      </c>
      <c r="O68" s="9">
        <v>80</v>
      </c>
      <c r="P68" s="9">
        <f t="shared" ref="P68:P131" si="7">IF(AND(V68="3S",OR(X68&lt;0.895,Z68&lt;4.595,R68&lt;4.695,Y68&lt;0.895)),0,IF(AND(V68="1S",OR(X68&lt;0.895,Z68&lt;4.595,R68&lt;4.695)),0,SUM(J68:O68)))</f>
        <v>390</v>
      </c>
      <c r="Q68" s="18">
        <v>0.13793103448275862</v>
      </c>
      <c r="R68" s="116">
        <v>4.8</v>
      </c>
      <c r="S68" s="19" t="str">
        <f t="shared" si="4"/>
        <v>2003901A (14%)</v>
      </c>
      <c r="T68" s="9">
        <f t="shared" si="6"/>
        <v>54</v>
      </c>
      <c r="U68" s="20" t="s">
        <v>1043</v>
      </c>
      <c r="V68" s="126" t="s">
        <v>1045</v>
      </c>
      <c r="W68" s="20" t="s">
        <v>1055</v>
      </c>
      <c r="X68" s="18">
        <v>1.1716417910447761</v>
      </c>
      <c r="Y68" s="18" t="s">
        <v>1066</v>
      </c>
      <c r="Z68" s="116">
        <v>4.67</v>
      </c>
      <c r="AA68" s="18"/>
      <c r="AB68" s="75"/>
    </row>
    <row r="69" spans="1:28">
      <c r="A69" s="6" t="s">
        <v>633</v>
      </c>
      <c r="B69" s="6" t="str">
        <f t="shared" si="5"/>
        <v>Gurudev Motors Pvt. Ltd1453</v>
      </c>
      <c r="C69" s="6" t="s">
        <v>23</v>
      </c>
      <c r="D69" s="5">
        <v>20039</v>
      </c>
      <c r="E69" s="5">
        <v>1453</v>
      </c>
      <c r="F69" s="3" t="s">
        <v>890</v>
      </c>
      <c r="G69" s="3" t="s">
        <v>299</v>
      </c>
      <c r="H69" s="3" t="s">
        <v>290</v>
      </c>
      <c r="I69" s="3" t="s">
        <v>462</v>
      </c>
      <c r="J69" s="9">
        <v>100</v>
      </c>
      <c r="K69" s="9">
        <v>0</v>
      </c>
      <c r="L69" s="9">
        <v>0</v>
      </c>
      <c r="M69" s="9">
        <v>50</v>
      </c>
      <c r="N69" s="9">
        <v>0</v>
      </c>
      <c r="O69" s="9">
        <v>80</v>
      </c>
      <c r="P69" s="9">
        <f t="shared" si="7"/>
        <v>0</v>
      </c>
      <c r="Q69" s="18">
        <v>0.22758620689655173</v>
      </c>
      <c r="R69" s="116">
        <v>4.7</v>
      </c>
      <c r="S69" s="19" t="str">
        <f t="shared" si="4"/>
        <v>20039 (23%)</v>
      </c>
      <c r="T69" s="9">
        <f t="shared" si="6"/>
        <v>0</v>
      </c>
      <c r="U69" s="20" t="s">
        <v>1043</v>
      </c>
      <c r="V69" s="126" t="s">
        <v>1044</v>
      </c>
      <c r="W69" s="20" t="s">
        <v>1041</v>
      </c>
      <c r="X69" s="18">
        <v>1.1716417910447761</v>
      </c>
      <c r="Y69" s="18">
        <v>0.90835819661190953</v>
      </c>
      <c r="Z69" s="116">
        <v>4.45</v>
      </c>
      <c r="AA69" s="18"/>
      <c r="AB69" s="75"/>
    </row>
    <row r="70" spans="1:28">
      <c r="A70" s="6" t="s">
        <v>634</v>
      </c>
      <c r="B70" s="6" t="str">
        <f t="shared" si="5"/>
        <v>HD Autowheels Pvt. Ltd.3420</v>
      </c>
      <c r="C70" s="6" t="s">
        <v>24</v>
      </c>
      <c r="D70" s="3">
        <v>10377</v>
      </c>
      <c r="E70" s="5">
        <v>3420</v>
      </c>
      <c r="F70" s="3" t="s">
        <v>889</v>
      </c>
      <c r="G70" s="3" t="s">
        <v>300</v>
      </c>
      <c r="H70" s="3" t="s">
        <v>300</v>
      </c>
      <c r="I70" s="3" t="s">
        <v>461</v>
      </c>
      <c r="J70" s="9">
        <v>100</v>
      </c>
      <c r="K70" s="9">
        <v>100</v>
      </c>
      <c r="L70" s="9">
        <v>50</v>
      </c>
      <c r="M70" s="9">
        <v>50</v>
      </c>
      <c r="N70" s="9">
        <v>100</v>
      </c>
      <c r="O70" s="9">
        <v>80</v>
      </c>
      <c r="P70" s="9">
        <f t="shared" si="7"/>
        <v>480</v>
      </c>
      <c r="Q70" s="18">
        <v>1</v>
      </c>
      <c r="R70" s="116">
        <v>5</v>
      </c>
      <c r="S70" s="19" t="str">
        <f t="shared" si="4"/>
        <v>10377 (100%)</v>
      </c>
      <c r="T70" s="9">
        <f t="shared" si="6"/>
        <v>480</v>
      </c>
      <c r="U70" s="20" t="s">
        <v>1043</v>
      </c>
      <c r="V70" s="126" t="s">
        <v>1044</v>
      </c>
      <c r="W70" s="20" t="s">
        <v>1041</v>
      </c>
      <c r="X70" s="18">
        <v>1.3</v>
      </c>
      <c r="Y70" s="18">
        <v>1.2645097569060784</v>
      </c>
      <c r="Z70" s="116">
        <v>5</v>
      </c>
      <c r="AA70" s="18"/>
      <c r="AB70" s="75"/>
    </row>
    <row r="71" spans="1:28">
      <c r="A71" s="6" t="s">
        <v>635</v>
      </c>
      <c r="B71" s="6" t="str">
        <f t="shared" si="5"/>
        <v>Imperial 3S Jamshedpur 2466</v>
      </c>
      <c r="C71" s="6" t="s">
        <v>25</v>
      </c>
      <c r="D71" s="5">
        <v>10082</v>
      </c>
      <c r="E71" s="5">
        <v>2466</v>
      </c>
      <c r="F71" s="3" t="s">
        <v>890</v>
      </c>
      <c r="G71" s="3" t="s">
        <v>301</v>
      </c>
      <c r="H71" s="3" t="s">
        <v>302</v>
      </c>
      <c r="I71" s="3" t="s">
        <v>468</v>
      </c>
      <c r="J71" s="9">
        <v>0</v>
      </c>
      <c r="K71" s="9">
        <v>0</v>
      </c>
      <c r="L71" s="9">
        <v>40</v>
      </c>
      <c r="M71" s="9">
        <v>50</v>
      </c>
      <c r="N71" s="9">
        <v>80</v>
      </c>
      <c r="O71" s="9">
        <v>0</v>
      </c>
      <c r="P71" s="9">
        <f t="shared" si="7"/>
        <v>0</v>
      </c>
      <c r="Q71" s="18">
        <v>1</v>
      </c>
      <c r="R71" s="116">
        <v>4.0999999999999996</v>
      </c>
      <c r="S71" s="19" t="str">
        <f t="shared" si="4"/>
        <v>10082 (100%)</v>
      </c>
      <c r="T71" s="9">
        <f t="shared" si="6"/>
        <v>0</v>
      </c>
      <c r="U71" s="20" t="s">
        <v>1043</v>
      </c>
      <c r="V71" s="126" t="s">
        <v>1044</v>
      </c>
      <c r="W71" s="20" t="s">
        <v>1040</v>
      </c>
      <c r="X71" s="18">
        <v>0.61290322580645162</v>
      </c>
      <c r="Y71" s="18">
        <v>0.69712890909090908</v>
      </c>
      <c r="Z71" s="116">
        <v>4.78</v>
      </c>
      <c r="AA71" s="18"/>
      <c r="AB71" s="75"/>
    </row>
    <row r="72" spans="1:28">
      <c r="A72" s="6" t="s">
        <v>636</v>
      </c>
      <c r="B72" s="6" t="str">
        <f t="shared" si="5"/>
        <v>Jai Auto Vehicles Pvt Ltd2452</v>
      </c>
      <c r="C72" s="6" t="s">
        <v>27</v>
      </c>
      <c r="D72" s="6" t="s">
        <v>113</v>
      </c>
      <c r="E72" s="5">
        <v>2452</v>
      </c>
      <c r="F72" s="3" t="s">
        <v>889</v>
      </c>
      <c r="G72" s="3" t="s">
        <v>304</v>
      </c>
      <c r="H72" s="3" t="s">
        <v>702</v>
      </c>
      <c r="I72" s="3" t="s">
        <v>464</v>
      </c>
      <c r="J72" s="9">
        <v>80</v>
      </c>
      <c r="K72" s="9">
        <v>80</v>
      </c>
      <c r="L72" s="9">
        <v>50</v>
      </c>
      <c r="M72" s="9">
        <v>50</v>
      </c>
      <c r="N72" s="9">
        <v>100</v>
      </c>
      <c r="O72" s="9">
        <v>80</v>
      </c>
      <c r="P72" s="9">
        <f t="shared" si="7"/>
        <v>440</v>
      </c>
      <c r="Q72" s="18">
        <v>9.2682926829268292E-2</v>
      </c>
      <c r="R72" s="116">
        <v>4.8</v>
      </c>
      <c r="S72" s="19" t="str">
        <f t="shared" si="4"/>
        <v>1028101A (9%)</v>
      </c>
      <c r="T72" s="9">
        <f t="shared" si="6"/>
        <v>41</v>
      </c>
      <c r="U72" s="20" t="s">
        <v>1043</v>
      </c>
      <c r="V72" s="126" t="s">
        <v>1045</v>
      </c>
      <c r="W72" s="20" t="s">
        <v>1055</v>
      </c>
      <c r="X72" s="18">
        <v>1.2142857142857142</v>
      </c>
      <c r="Y72" s="18" t="s">
        <v>1066</v>
      </c>
      <c r="Z72" s="116">
        <v>5</v>
      </c>
      <c r="AA72" s="18"/>
      <c r="AB72" s="75"/>
    </row>
    <row r="73" spans="1:28">
      <c r="A73" s="6" t="s">
        <v>636</v>
      </c>
      <c r="B73" s="6" t="str">
        <f t="shared" si="5"/>
        <v>Jai Auto Vehicles Pvt Ltd2452</v>
      </c>
      <c r="C73" s="6" t="s">
        <v>27</v>
      </c>
      <c r="D73" s="6" t="s">
        <v>114</v>
      </c>
      <c r="E73" s="5">
        <v>2452</v>
      </c>
      <c r="F73" s="3" t="s">
        <v>889</v>
      </c>
      <c r="G73" s="3" t="s">
        <v>925</v>
      </c>
      <c r="H73" s="3" t="s">
        <v>306</v>
      </c>
      <c r="I73" s="3" t="s">
        <v>464</v>
      </c>
      <c r="J73" s="9">
        <v>100</v>
      </c>
      <c r="K73" s="9">
        <v>100</v>
      </c>
      <c r="L73" s="9">
        <v>50</v>
      </c>
      <c r="M73" s="9">
        <v>0</v>
      </c>
      <c r="N73" s="9">
        <v>100</v>
      </c>
      <c r="O73" s="9">
        <v>80</v>
      </c>
      <c r="P73" s="9">
        <f t="shared" si="7"/>
        <v>430</v>
      </c>
      <c r="Q73" s="18">
        <v>0.14146341463414633</v>
      </c>
      <c r="R73" s="116">
        <v>4.9000000000000004</v>
      </c>
      <c r="S73" s="19" t="str">
        <f t="shared" si="4"/>
        <v>2027701A (14%)</v>
      </c>
      <c r="T73" s="9">
        <f t="shared" si="6"/>
        <v>61</v>
      </c>
      <c r="U73" s="20" t="s">
        <v>1043</v>
      </c>
      <c r="V73" s="126" t="s">
        <v>1045</v>
      </c>
      <c r="W73" s="20" t="s">
        <v>1055</v>
      </c>
      <c r="X73" s="18">
        <v>1.2142857142857142</v>
      </c>
      <c r="Y73" s="18" t="s">
        <v>1066</v>
      </c>
      <c r="Z73" s="116">
        <v>5</v>
      </c>
      <c r="AA73" s="18"/>
      <c r="AB73" s="75"/>
    </row>
    <row r="74" spans="1:28">
      <c r="A74" s="6" t="s">
        <v>636</v>
      </c>
      <c r="B74" s="6" t="str">
        <f t="shared" si="5"/>
        <v>Jai Auto Vehicles Pvt Ltd2452</v>
      </c>
      <c r="C74" s="6" t="s">
        <v>27</v>
      </c>
      <c r="D74" s="5">
        <v>10281</v>
      </c>
      <c r="E74" s="5">
        <v>2452</v>
      </c>
      <c r="F74" s="3" t="s">
        <v>889</v>
      </c>
      <c r="G74" s="3" t="s">
        <v>926</v>
      </c>
      <c r="H74" s="3" t="s">
        <v>702</v>
      </c>
      <c r="I74" s="3" t="s">
        <v>464</v>
      </c>
      <c r="J74" s="9">
        <v>100</v>
      </c>
      <c r="K74" s="9">
        <v>100</v>
      </c>
      <c r="L74" s="9">
        <v>50</v>
      </c>
      <c r="M74" s="9">
        <v>50</v>
      </c>
      <c r="N74" s="9">
        <v>100</v>
      </c>
      <c r="O74" s="9">
        <v>80</v>
      </c>
      <c r="P74" s="9">
        <f t="shared" si="7"/>
        <v>0</v>
      </c>
      <c r="Q74" s="18">
        <v>0.38536585365853659</v>
      </c>
      <c r="R74" s="116">
        <v>4.8</v>
      </c>
      <c r="S74" s="19" t="str">
        <f t="shared" si="4"/>
        <v>10281 (39%)</v>
      </c>
      <c r="T74" s="9">
        <f t="shared" si="6"/>
        <v>0</v>
      </c>
      <c r="U74" s="20" t="s">
        <v>1043</v>
      </c>
      <c r="V74" s="126" t="s">
        <v>1044</v>
      </c>
      <c r="W74" s="20" t="s">
        <v>1041</v>
      </c>
      <c r="X74" s="18">
        <v>1.2142857142857142</v>
      </c>
      <c r="Y74" s="18">
        <v>0.84865822739623764</v>
      </c>
      <c r="Z74" s="116">
        <v>4.96</v>
      </c>
      <c r="AA74" s="18"/>
      <c r="AB74" s="75"/>
    </row>
    <row r="75" spans="1:28">
      <c r="A75" s="6" t="s">
        <v>636</v>
      </c>
      <c r="B75" s="6" t="str">
        <f t="shared" si="5"/>
        <v>Jai Auto Vehicles Pvt Ltd2452</v>
      </c>
      <c r="C75" s="6" t="s">
        <v>27</v>
      </c>
      <c r="D75" s="5">
        <v>20277</v>
      </c>
      <c r="E75" s="5">
        <v>2452</v>
      </c>
      <c r="F75" s="3" t="s">
        <v>889</v>
      </c>
      <c r="G75" s="3" t="s">
        <v>927</v>
      </c>
      <c r="H75" s="3" t="s">
        <v>306</v>
      </c>
      <c r="I75" s="3" t="s">
        <v>464</v>
      </c>
      <c r="J75" s="9">
        <v>80</v>
      </c>
      <c r="K75" s="9">
        <v>80</v>
      </c>
      <c r="L75" s="9">
        <v>50</v>
      </c>
      <c r="M75" s="9">
        <v>0</v>
      </c>
      <c r="N75" s="9">
        <v>100</v>
      </c>
      <c r="O75" s="9">
        <v>0</v>
      </c>
      <c r="P75" s="9">
        <f t="shared" si="7"/>
        <v>0</v>
      </c>
      <c r="Q75" s="18">
        <v>0.38048780487804879</v>
      </c>
      <c r="R75" s="116">
        <v>4.7</v>
      </c>
      <c r="S75" s="19" t="str">
        <f t="shared" si="4"/>
        <v>20277 (38%)</v>
      </c>
      <c r="T75" s="9">
        <f t="shared" si="6"/>
        <v>0</v>
      </c>
      <c r="U75" s="20" t="s">
        <v>1043</v>
      </c>
      <c r="V75" s="126" t="s">
        <v>1044</v>
      </c>
      <c r="W75" s="20" t="s">
        <v>1040</v>
      </c>
      <c r="X75" s="18">
        <v>1.2142857142857142</v>
      </c>
      <c r="Y75" s="18">
        <v>0.84865822739623764</v>
      </c>
      <c r="Z75" s="116">
        <v>4.9000000000000004</v>
      </c>
      <c r="AA75" s="18"/>
      <c r="AB75" s="75"/>
    </row>
    <row r="76" spans="1:28">
      <c r="A76" s="6" t="s">
        <v>637</v>
      </c>
      <c r="B76" s="6" t="str">
        <f t="shared" si="5"/>
        <v>K Cube Motors LLP1757</v>
      </c>
      <c r="C76" s="6" t="s">
        <v>28</v>
      </c>
      <c r="D76" s="6">
        <v>10397</v>
      </c>
      <c r="E76" s="5">
        <v>1757</v>
      </c>
      <c r="F76" s="3" t="s">
        <v>890</v>
      </c>
      <c r="G76" s="3" t="s">
        <v>308</v>
      </c>
      <c r="H76" s="3" t="s">
        <v>309</v>
      </c>
      <c r="I76" s="3" t="s">
        <v>468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80</v>
      </c>
      <c r="P76" s="9">
        <f t="shared" si="7"/>
        <v>0</v>
      </c>
      <c r="Q76" s="18">
        <v>1</v>
      </c>
      <c r="R76" s="116">
        <v>4.7</v>
      </c>
      <c r="S76" s="19" t="str">
        <f t="shared" si="4"/>
        <v>10397 (100%)</v>
      </c>
      <c r="T76" s="9">
        <f t="shared" si="6"/>
        <v>0</v>
      </c>
      <c r="U76" s="20" t="s">
        <v>1043</v>
      </c>
      <c r="V76" s="126" t="s">
        <v>1044</v>
      </c>
      <c r="W76" s="20" t="s">
        <v>1040</v>
      </c>
      <c r="X76" s="18">
        <v>0.90909090909090906</v>
      </c>
      <c r="Y76" s="18">
        <v>0.26748430303030291</v>
      </c>
      <c r="Z76" s="116">
        <v>3.6</v>
      </c>
      <c r="AA76" s="18"/>
      <c r="AB76" s="75"/>
    </row>
    <row r="77" spans="1:28">
      <c r="A77" s="6" t="s">
        <v>638</v>
      </c>
      <c r="B77" s="6" t="str">
        <f t="shared" si="5"/>
        <v>Krishna Auto Sales 1094</v>
      </c>
      <c r="C77" s="6" t="s">
        <v>29</v>
      </c>
      <c r="D77" s="5">
        <v>10016</v>
      </c>
      <c r="E77" s="5">
        <v>1094</v>
      </c>
      <c r="F77" s="3" t="s">
        <v>889</v>
      </c>
      <c r="G77" s="3" t="s">
        <v>928</v>
      </c>
      <c r="H77" s="3" t="s">
        <v>311</v>
      </c>
      <c r="I77" s="3" t="s">
        <v>461</v>
      </c>
      <c r="J77" s="9">
        <v>100</v>
      </c>
      <c r="K77" s="9">
        <v>100</v>
      </c>
      <c r="L77" s="9">
        <v>0</v>
      </c>
      <c r="M77" s="9">
        <v>50</v>
      </c>
      <c r="N77" s="9">
        <v>100</v>
      </c>
      <c r="O77" s="9">
        <v>100</v>
      </c>
      <c r="P77" s="9">
        <f t="shared" si="7"/>
        <v>450</v>
      </c>
      <c r="Q77" s="18">
        <v>0.33333333333333331</v>
      </c>
      <c r="R77" s="116">
        <v>4.7</v>
      </c>
      <c r="S77" s="19" t="str">
        <f t="shared" si="4"/>
        <v>10016 (33%)</v>
      </c>
      <c r="T77" s="9">
        <f t="shared" si="6"/>
        <v>150</v>
      </c>
      <c r="U77" s="20" t="s">
        <v>1043</v>
      </c>
      <c r="V77" s="126" t="s">
        <v>1044</v>
      </c>
      <c r="W77" s="20" t="s">
        <v>1040</v>
      </c>
      <c r="X77" s="18">
        <v>1.0962962962962963</v>
      </c>
      <c r="Y77" s="18">
        <v>1.0855080994940978</v>
      </c>
      <c r="Z77" s="116">
        <v>4.91</v>
      </c>
      <c r="AA77" s="18"/>
      <c r="AB77" s="75"/>
    </row>
    <row r="78" spans="1:28">
      <c r="A78" s="6" t="s">
        <v>638</v>
      </c>
      <c r="B78" s="6" t="str">
        <f t="shared" si="5"/>
        <v>Krishna Auto Sales 1094</v>
      </c>
      <c r="C78" s="6" t="s">
        <v>29</v>
      </c>
      <c r="D78" s="5">
        <v>10018</v>
      </c>
      <c r="E78" s="5">
        <v>1094</v>
      </c>
      <c r="F78" s="3" t="s">
        <v>889</v>
      </c>
      <c r="G78" s="3" t="s">
        <v>312</v>
      </c>
      <c r="H78" s="3" t="s">
        <v>313</v>
      </c>
      <c r="I78" s="3" t="s">
        <v>461</v>
      </c>
      <c r="J78" s="9">
        <v>100</v>
      </c>
      <c r="K78" s="9">
        <v>100</v>
      </c>
      <c r="L78" s="9">
        <v>0</v>
      </c>
      <c r="M78" s="9">
        <v>50</v>
      </c>
      <c r="N78" s="9">
        <v>100</v>
      </c>
      <c r="O78" s="9">
        <v>0</v>
      </c>
      <c r="P78" s="9">
        <f t="shared" si="7"/>
        <v>350</v>
      </c>
      <c r="Q78" s="18">
        <v>0.2318840579710145</v>
      </c>
      <c r="R78" s="116">
        <v>4.8</v>
      </c>
      <c r="S78" s="19" t="str">
        <f t="shared" si="4"/>
        <v>10018 (23%)</v>
      </c>
      <c r="T78" s="9">
        <f t="shared" si="6"/>
        <v>81</v>
      </c>
      <c r="U78" s="20" t="s">
        <v>1043</v>
      </c>
      <c r="V78" s="126" t="s">
        <v>1044</v>
      </c>
      <c r="W78" s="20" t="s">
        <v>1040</v>
      </c>
      <c r="X78" s="18">
        <v>1.0962962962962963</v>
      </c>
      <c r="Y78" s="18">
        <v>1.0855080994940978</v>
      </c>
      <c r="Z78" s="116">
        <v>5</v>
      </c>
      <c r="AA78" s="18"/>
      <c r="AB78" s="75"/>
    </row>
    <row r="79" spans="1:28">
      <c r="A79" s="6" t="s">
        <v>638</v>
      </c>
      <c r="B79" s="6" t="str">
        <f t="shared" si="5"/>
        <v>Krishna Auto Sales 1094</v>
      </c>
      <c r="C79" s="6" t="s">
        <v>29</v>
      </c>
      <c r="D79" s="5">
        <v>10017</v>
      </c>
      <c r="E79" s="5">
        <v>1094</v>
      </c>
      <c r="F79" s="3" t="s">
        <v>889</v>
      </c>
      <c r="G79" s="3" t="s">
        <v>929</v>
      </c>
      <c r="H79" s="3" t="s">
        <v>315</v>
      </c>
      <c r="I79" s="3" t="s">
        <v>461</v>
      </c>
      <c r="J79" s="9">
        <v>80</v>
      </c>
      <c r="K79" s="9">
        <v>100</v>
      </c>
      <c r="L79" s="9">
        <v>50</v>
      </c>
      <c r="M79" s="9">
        <v>50</v>
      </c>
      <c r="N79" s="9">
        <v>100</v>
      </c>
      <c r="O79" s="9">
        <v>80</v>
      </c>
      <c r="P79" s="9">
        <f t="shared" si="7"/>
        <v>460</v>
      </c>
      <c r="Q79" s="18">
        <v>0.2318840579710145</v>
      </c>
      <c r="R79" s="116">
        <v>4.8</v>
      </c>
      <c r="S79" s="19" t="str">
        <f t="shared" si="4"/>
        <v>10017 (23%)</v>
      </c>
      <c r="T79" s="9">
        <f t="shared" si="6"/>
        <v>107</v>
      </c>
      <c r="U79" s="20" t="s">
        <v>1043</v>
      </c>
      <c r="V79" s="126" t="s">
        <v>1044</v>
      </c>
      <c r="W79" s="20" t="s">
        <v>1040</v>
      </c>
      <c r="X79" s="18">
        <v>1.0962962962962963</v>
      </c>
      <c r="Y79" s="18">
        <v>1.0855080994940978</v>
      </c>
      <c r="Z79" s="116">
        <v>4.93</v>
      </c>
      <c r="AA79" s="18"/>
      <c r="AB79" s="75"/>
    </row>
    <row r="80" spans="1:28" ht="22.8">
      <c r="A80" s="6" t="s">
        <v>639</v>
      </c>
      <c r="B80" s="6" t="str">
        <f t="shared" si="5"/>
        <v>Kun Motor Enterprises Pvt Ltd1515</v>
      </c>
      <c r="C80" s="6" t="s">
        <v>30</v>
      </c>
      <c r="D80" s="6" t="s">
        <v>115</v>
      </c>
      <c r="E80" s="5">
        <v>1515</v>
      </c>
      <c r="F80" s="3" t="s">
        <v>890</v>
      </c>
      <c r="G80" s="3" t="s">
        <v>317</v>
      </c>
      <c r="H80" s="3" t="s">
        <v>290</v>
      </c>
      <c r="I80" s="3" t="s">
        <v>462</v>
      </c>
      <c r="J80" s="9">
        <v>100</v>
      </c>
      <c r="K80" s="9">
        <v>100</v>
      </c>
      <c r="L80" s="9">
        <v>0</v>
      </c>
      <c r="M80" s="9">
        <v>50</v>
      </c>
      <c r="N80" s="9">
        <v>100</v>
      </c>
      <c r="O80" s="9">
        <v>0</v>
      </c>
      <c r="P80" s="9">
        <f t="shared" si="7"/>
        <v>350</v>
      </c>
      <c r="Q80" s="18">
        <v>0.15827338129496402</v>
      </c>
      <c r="R80" s="116">
        <v>4.9000000000000004</v>
      </c>
      <c r="S80" s="19" t="str">
        <f t="shared" si="4"/>
        <v>1035401A (16%)</v>
      </c>
      <c r="T80" s="9">
        <f t="shared" si="6"/>
        <v>55</v>
      </c>
      <c r="U80" s="20" t="s">
        <v>1043</v>
      </c>
      <c r="V80" s="126" t="s">
        <v>1045</v>
      </c>
      <c r="W80" s="20" t="s">
        <v>1055</v>
      </c>
      <c r="X80" s="18">
        <v>1.4915254237288136</v>
      </c>
      <c r="Y80" s="18" t="s">
        <v>1066</v>
      </c>
      <c r="Z80" s="116">
        <v>4.87</v>
      </c>
      <c r="AA80" s="18"/>
      <c r="AB80" s="75"/>
    </row>
    <row r="81" spans="1:28" ht="22.8">
      <c r="A81" s="6" t="s">
        <v>639</v>
      </c>
      <c r="B81" s="6" t="str">
        <f t="shared" si="5"/>
        <v>Kun Motor Enterprises Pvt Ltd1515</v>
      </c>
      <c r="C81" s="6" t="s">
        <v>30</v>
      </c>
      <c r="D81" s="6" t="s">
        <v>116</v>
      </c>
      <c r="E81" s="5">
        <v>1515</v>
      </c>
      <c r="F81" s="3" t="s">
        <v>890</v>
      </c>
      <c r="G81" s="3" t="s">
        <v>318</v>
      </c>
      <c r="H81" s="3" t="s">
        <v>290</v>
      </c>
      <c r="I81" s="3" t="s">
        <v>462</v>
      </c>
      <c r="J81" s="9">
        <v>100</v>
      </c>
      <c r="K81" s="9">
        <v>80</v>
      </c>
      <c r="L81" s="9">
        <v>0</v>
      </c>
      <c r="M81" s="9">
        <v>50</v>
      </c>
      <c r="N81" s="9">
        <v>100</v>
      </c>
      <c r="O81" s="9">
        <v>0</v>
      </c>
      <c r="P81" s="9">
        <f t="shared" si="7"/>
        <v>330</v>
      </c>
      <c r="Q81" s="18">
        <v>0.1366906474820144</v>
      </c>
      <c r="R81" s="116">
        <v>4.9000000000000004</v>
      </c>
      <c r="S81" s="19" t="str">
        <f t="shared" si="4"/>
        <v>2035402C (14%)</v>
      </c>
      <c r="T81" s="9">
        <f t="shared" si="6"/>
        <v>45</v>
      </c>
      <c r="U81" s="20" t="s">
        <v>1043</v>
      </c>
      <c r="V81" s="126" t="s">
        <v>1044</v>
      </c>
      <c r="W81" s="20" t="s">
        <v>1057</v>
      </c>
      <c r="X81" s="18">
        <v>1.4915254237288136</v>
      </c>
      <c r="Y81" s="18">
        <v>1.0058721131221717</v>
      </c>
      <c r="Z81" s="116">
        <v>4.8899999999999997</v>
      </c>
      <c r="AA81" s="18"/>
      <c r="AB81" s="75"/>
    </row>
    <row r="82" spans="1:28" ht="22.8">
      <c r="A82" s="6" t="s">
        <v>639</v>
      </c>
      <c r="B82" s="6" t="str">
        <f t="shared" si="5"/>
        <v>Kun Motor Enterprises Pvt Ltd1515</v>
      </c>
      <c r="C82" s="6" t="s">
        <v>30</v>
      </c>
      <c r="D82" s="3" t="s">
        <v>117</v>
      </c>
      <c r="E82" s="5">
        <v>1515</v>
      </c>
      <c r="F82" s="3" t="s">
        <v>890</v>
      </c>
      <c r="G82" s="3" t="s">
        <v>319</v>
      </c>
      <c r="H82" s="3" t="s">
        <v>320</v>
      </c>
      <c r="I82" s="3" t="s">
        <v>462</v>
      </c>
      <c r="J82" s="9">
        <v>80</v>
      </c>
      <c r="K82" s="9">
        <v>100</v>
      </c>
      <c r="L82" s="9">
        <v>0</v>
      </c>
      <c r="M82" s="9">
        <v>50</v>
      </c>
      <c r="N82" s="9">
        <v>100</v>
      </c>
      <c r="O82" s="9">
        <v>100</v>
      </c>
      <c r="P82" s="9">
        <f t="shared" si="7"/>
        <v>430</v>
      </c>
      <c r="Q82" s="18">
        <v>7.9136690647482008E-2</v>
      </c>
      <c r="R82" s="116">
        <v>4.9000000000000004</v>
      </c>
      <c r="S82" s="19" t="str">
        <f t="shared" si="4"/>
        <v>1035403A (8%)</v>
      </c>
      <c r="T82" s="9">
        <f t="shared" si="6"/>
        <v>34</v>
      </c>
      <c r="U82" s="20" t="s">
        <v>1043</v>
      </c>
      <c r="V82" s="126" t="s">
        <v>1045</v>
      </c>
      <c r="W82" s="20" t="s">
        <v>1055</v>
      </c>
      <c r="X82" s="18">
        <v>1.4915254237288136</v>
      </c>
      <c r="Y82" s="18" t="s">
        <v>1066</v>
      </c>
      <c r="Z82" s="116">
        <v>5</v>
      </c>
      <c r="AA82" s="18"/>
      <c r="AB82" s="75"/>
    </row>
    <row r="83" spans="1:28" ht="22.8">
      <c r="A83" s="6" t="s">
        <v>639</v>
      </c>
      <c r="B83" s="6" t="str">
        <f t="shared" si="5"/>
        <v>Kun Motor Enterprises Pvt Ltd1515</v>
      </c>
      <c r="C83" s="6" t="s">
        <v>30</v>
      </c>
      <c r="D83" s="5">
        <v>10348</v>
      </c>
      <c r="E83" s="5">
        <v>1515</v>
      </c>
      <c r="F83" s="3" t="s">
        <v>890</v>
      </c>
      <c r="G83" s="3" t="s">
        <v>930</v>
      </c>
      <c r="H83" s="3" t="s">
        <v>322</v>
      </c>
      <c r="I83" s="3" t="s">
        <v>462</v>
      </c>
      <c r="J83" s="9">
        <v>100</v>
      </c>
      <c r="K83" s="9">
        <v>100</v>
      </c>
      <c r="L83" s="9">
        <v>40</v>
      </c>
      <c r="M83" s="9">
        <v>50</v>
      </c>
      <c r="N83" s="9">
        <v>80</v>
      </c>
      <c r="O83" s="9">
        <v>0</v>
      </c>
      <c r="P83" s="9">
        <f t="shared" si="7"/>
        <v>370</v>
      </c>
      <c r="Q83" s="18">
        <v>0.21582733812949639</v>
      </c>
      <c r="R83" s="116">
        <v>4.9000000000000004</v>
      </c>
      <c r="S83" s="19" t="str">
        <f t="shared" si="4"/>
        <v>10348 (22%)</v>
      </c>
      <c r="T83" s="9">
        <f t="shared" si="6"/>
        <v>80</v>
      </c>
      <c r="U83" s="20" t="s">
        <v>1043</v>
      </c>
      <c r="V83" s="126" t="s">
        <v>1044</v>
      </c>
      <c r="W83" s="20" t="s">
        <v>1041</v>
      </c>
      <c r="X83" s="18">
        <v>1.4915254237288136</v>
      </c>
      <c r="Y83" s="18">
        <v>1.0058721131221717</v>
      </c>
      <c r="Z83" s="116">
        <v>4.8</v>
      </c>
      <c r="AA83" s="18"/>
      <c r="AB83" s="75"/>
    </row>
    <row r="84" spans="1:28" ht="22.8">
      <c r="A84" s="6" t="s">
        <v>639</v>
      </c>
      <c r="B84" s="6" t="str">
        <f t="shared" si="5"/>
        <v>Kun Motor Enterprises Pvt Ltd1515</v>
      </c>
      <c r="C84" s="6" t="s">
        <v>30</v>
      </c>
      <c r="D84" s="3">
        <v>10354</v>
      </c>
      <c r="E84" s="5">
        <v>1515</v>
      </c>
      <c r="F84" s="3" t="s">
        <v>890</v>
      </c>
      <c r="G84" s="3" t="s">
        <v>323</v>
      </c>
      <c r="H84" s="3" t="s">
        <v>290</v>
      </c>
      <c r="I84" s="3" t="s">
        <v>462</v>
      </c>
      <c r="J84" s="9">
        <v>100</v>
      </c>
      <c r="K84" s="9">
        <v>100</v>
      </c>
      <c r="L84" s="9">
        <v>0</v>
      </c>
      <c r="M84" s="9">
        <v>50</v>
      </c>
      <c r="N84" s="9">
        <v>80</v>
      </c>
      <c r="O84" s="9">
        <v>0</v>
      </c>
      <c r="P84" s="9">
        <f t="shared" si="7"/>
        <v>330</v>
      </c>
      <c r="Q84" s="18">
        <v>0.41007194244604317</v>
      </c>
      <c r="R84" s="116">
        <v>4.7</v>
      </c>
      <c r="S84" s="19" t="str">
        <f t="shared" si="4"/>
        <v>10354 (41%)</v>
      </c>
      <c r="T84" s="9">
        <f t="shared" si="6"/>
        <v>135</v>
      </c>
      <c r="U84" s="20" t="s">
        <v>1043</v>
      </c>
      <c r="V84" s="126" t="s">
        <v>1044</v>
      </c>
      <c r="W84" s="20" t="s">
        <v>1041</v>
      </c>
      <c r="X84" s="18">
        <v>1.4915254237288136</v>
      </c>
      <c r="Y84" s="18">
        <v>1.0058721131221717</v>
      </c>
      <c r="Z84" s="116">
        <v>4.62</v>
      </c>
      <c r="AA84" s="18"/>
      <c r="AB84" s="75"/>
    </row>
    <row r="85" spans="1:28">
      <c r="A85" s="6" t="s">
        <v>640</v>
      </c>
      <c r="B85" s="6" t="str">
        <f t="shared" si="5"/>
        <v>Mahavir Auto  Diagnostics Pvt. Ltd_AP2144</v>
      </c>
      <c r="C85" s="6" t="s">
        <v>58</v>
      </c>
      <c r="D85" s="5">
        <v>22012</v>
      </c>
      <c r="E85" s="5">
        <v>2144</v>
      </c>
      <c r="F85" s="3" t="s">
        <v>890</v>
      </c>
      <c r="G85" s="3" t="s">
        <v>324</v>
      </c>
      <c r="H85" s="3" t="s">
        <v>931</v>
      </c>
      <c r="I85" s="3" t="s">
        <v>466</v>
      </c>
      <c r="J85" s="9">
        <v>100</v>
      </c>
      <c r="K85" s="9">
        <v>100</v>
      </c>
      <c r="L85" s="9">
        <v>0</v>
      </c>
      <c r="M85" s="9">
        <v>0</v>
      </c>
      <c r="N85" s="9">
        <v>80</v>
      </c>
      <c r="O85" s="9">
        <v>0</v>
      </c>
      <c r="P85" s="9">
        <f t="shared" si="7"/>
        <v>280</v>
      </c>
      <c r="Q85" s="18">
        <v>0.34234234234234234</v>
      </c>
      <c r="R85" s="116">
        <v>4.7</v>
      </c>
      <c r="S85" s="19" t="str">
        <f t="shared" si="4"/>
        <v>22012 (34%)</v>
      </c>
      <c r="T85" s="9">
        <f t="shared" si="6"/>
        <v>96</v>
      </c>
      <c r="U85" s="20" t="s">
        <v>1043</v>
      </c>
      <c r="V85" s="126" t="s">
        <v>1044</v>
      </c>
      <c r="W85" s="20" t="s">
        <v>1040</v>
      </c>
      <c r="X85" s="18">
        <v>1.1827956989247312</v>
      </c>
      <c r="Y85" s="18">
        <v>1.0925414301075282</v>
      </c>
      <c r="Z85" s="116">
        <v>4.76</v>
      </c>
      <c r="AA85" s="18"/>
      <c r="AB85" s="75"/>
    </row>
    <row r="86" spans="1:28">
      <c r="A86" s="6" t="s">
        <v>640</v>
      </c>
      <c r="B86" s="6" t="str">
        <f t="shared" si="5"/>
        <v>Mahavir Auto  Diagnostics Pvt. Ltd_AP2144</v>
      </c>
      <c r="C86" s="6" t="s">
        <v>58</v>
      </c>
      <c r="D86" s="5">
        <v>26012</v>
      </c>
      <c r="E86" s="5">
        <v>2144</v>
      </c>
      <c r="F86" s="3" t="s">
        <v>890</v>
      </c>
      <c r="G86" s="3" t="s">
        <v>325</v>
      </c>
      <c r="H86" s="3" t="s">
        <v>325</v>
      </c>
      <c r="I86" s="3" t="s">
        <v>466</v>
      </c>
      <c r="J86" s="9">
        <v>80</v>
      </c>
      <c r="K86" s="9">
        <v>100</v>
      </c>
      <c r="L86" s="9">
        <v>50</v>
      </c>
      <c r="M86" s="9">
        <v>50</v>
      </c>
      <c r="N86" s="9">
        <v>100</v>
      </c>
      <c r="O86" s="9">
        <v>80</v>
      </c>
      <c r="P86" s="9">
        <f t="shared" si="7"/>
        <v>460</v>
      </c>
      <c r="Q86" s="18">
        <v>0.29729729729729731</v>
      </c>
      <c r="R86" s="116">
        <v>4.7</v>
      </c>
      <c r="S86" s="19" t="str">
        <f t="shared" si="4"/>
        <v>26012 (30%)</v>
      </c>
      <c r="T86" s="9">
        <f t="shared" si="6"/>
        <v>137</v>
      </c>
      <c r="U86" s="20" t="s">
        <v>1043</v>
      </c>
      <c r="V86" s="126" t="s">
        <v>1044</v>
      </c>
      <c r="W86" s="20" t="s">
        <v>1040</v>
      </c>
      <c r="X86" s="18">
        <v>1.1827956989247312</v>
      </c>
      <c r="Y86" s="18">
        <v>1.0925414301075282</v>
      </c>
      <c r="Z86" s="116">
        <v>4.9400000000000004</v>
      </c>
      <c r="AA86" s="18"/>
      <c r="AB86" s="75"/>
    </row>
    <row r="87" spans="1:28">
      <c r="A87" s="6" t="s">
        <v>640</v>
      </c>
      <c r="B87" s="6" t="str">
        <f t="shared" si="5"/>
        <v>Mahavir Auto  Diagnostics Pvt. Ltd_AP2144</v>
      </c>
      <c r="C87" s="6" t="s">
        <v>58</v>
      </c>
      <c r="D87" s="6" t="s">
        <v>118</v>
      </c>
      <c r="E87" s="5">
        <v>2144</v>
      </c>
      <c r="F87" s="3" t="s">
        <v>890</v>
      </c>
      <c r="G87" s="3" t="s">
        <v>326</v>
      </c>
      <c r="H87" s="3" t="s">
        <v>932</v>
      </c>
      <c r="I87" s="3" t="s">
        <v>466</v>
      </c>
      <c r="J87" s="9">
        <v>80</v>
      </c>
      <c r="K87" s="9">
        <v>100</v>
      </c>
      <c r="L87" s="9">
        <v>0</v>
      </c>
      <c r="M87" s="9">
        <v>50</v>
      </c>
      <c r="N87" s="9">
        <v>100</v>
      </c>
      <c r="O87" s="9">
        <v>80</v>
      </c>
      <c r="P87" s="9">
        <f t="shared" si="7"/>
        <v>410</v>
      </c>
      <c r="Q87" s="18">
        <v>0.10810810810810811</v>
      </c>
      <c r="R87" s="116">
        <v>4.7</v>
      </c>
      <c r="S87" s="19" t="str">
        <f t="shared" si="4"/>
        <v>2601202C (11%)</v>
      </c>
      <c r="T87" s="9">
        <f t="shared" si="6"/>
        <v>44</v>
      </c>
      <c r="U87" s="20" t="s">
        <v>1043</v>
      </c>
      <c r="V87" s="126" t="s">
        <v>1044</v>
      </c>
      <c r="W87" s="20" t="s">
        <v>1057</v>
      </c>
      <c r="X87" s="18">
        <v>1.1827956989247312</v>
      </c>
      <c r="Y87" s="18">
        <v>1.0925414301075282</v>
      </c>
      <c r="Z87" s="116">
        <v>4.88</v>
      </c>
      <c r="AA87" s="18"/>
      <c r="AB87" s="75"/>
    </row>
    <row r="88" spans="1:28">
      <c r="A88" s="6" t="s">
        <v>640</v>
      </c>
      <c r="B88" s="6" t="str">
        <f t="shared" si="5"/>
        <v>Mahavir Auto  Diagnostics Pvt. Ltd_AP2144</v>
      </c>
      <c r="C88" s="6" t="s">
        <v>58</v>
      </c>
      <c r="D88" s="6" t="s">
        <v>119</v>
      </c>
      <c r="E88" s="5">
        <v>2144</v>
      </c>
      <c r="F88" s="3" t="s">
        <v>890</v>
      </c>
      <c r="G88" s="3" t="s">
        <v>933</v>
      </c>
      <c r="H88" s="3" t="s">
        <v>934</v>
      </c>
      <c r="I88" s="3" t="s">
        <v>466</v>
      </c>
      <c r="J88" s="9">
        <v>0</v>
      </c>
      <c r="K88" s="9">
        <v>100</v>
      </c>
      <c r="L88" s="9">
        <v>0</v>
      </c>
      <c r="M88" s="9">
        <v>0</v>
      </c>
      <c r="N88" s="9">
        <v>80</v>
      </c>
      <c r="O88" s="9">
        <v>0</v>
      </c>
      <c r="P88" s="9">
        <f t="shared" si="7"/>
        <v>180</v>
      </c>
      <c r="Q88" s="18">
        <v>9.90990990990991E-2</v>
      </c>
      <c r="R88" s="116">
        <v>4.9000000000000004</v>
      </c>
      <c r="S88" s="19" t="str">
        <f t="shared" si="4"/>
        <v>2201203C (10%)</v>
      </c>
      <c r="T88" s="9">
        <f t="shared" si="6"/>
        <v>18</v>
      </c>
      <c r="U88" s="20" t="s">
        <v>1043</v>
      </c>
      <c r="V88" s="126" t="s">
        <v>1044</v>
      </c>
      <c r="W88" s="20" t="s">
        <v>1057</v>
      </c>
      <c r="X88" s="18">
        <v>1.1827956989247312</v>
      </c>
      <c r="Y88" s="18">
        <v>1.0925414301075282</v>
      </c>
      <c r="Z88" s="116">
        <v>4.7300000000000004</v>
      </c>
      <c r="AA88" s="18"/>
      <c r="AB88" s="75"/>
    </row>
    <row r="89" spans="1:28">
      <c r="A89" s="6" t="s">
        <v>640</v>
      </c>
      <c r="B89" s="6" t="str">
        <f t="shared" si="5"/>
        <v>Mahavir Auto  Diagnostics Pvt. Ltd_AP2144</v>
      </c>
      <c r="C89" s="6" t="s">
        <v>58</v>
      </c>
      <c r="D89" s="6" t="s">
        <v>120</v>
      </c>
      <c r="E89" s="5">
        <v>2144</v>
      </c>
      <c r="F89" s="3" t="s">
        <v>890</v>
      </c>
      <c r="G89" s="3" t="s">
        <v>327</v>
      </c>
      <c r="H89" s="3" t="s">
        <v>935</v>
      </c>
      <c r="I89" s="3" t="s">
        <v>466</v>
      </c>
      <c r="J89" s="9">
        <v>100</v>
      </c>
      <c r="K89" s="9">
        <v>100</v>
      </c>
      <c r="L89" s="9">
        <v>0</v>
      </c>
      <c r="M89" s="9">
        <v>50</v>
      </c>
      <c r="N89" s="9">
        <v>80</v>
      </c>
      <c r="O89" s="9">
        <v>0</v>
      </c>
      <c r="P89" s="9">
        <f t="shared" si="7"/>
        <v>330</v>
      </c>
      <c r="Q89" s="18">
        <v>0.15315315315315314</v>
      </c>
      <c r="R89" s="116">
        <v>4.9000000000000004</v>
      </c>
      <c r="S89" s="19" t="str">
        <f t="shared" si="4"/>
        <v>2601204C (15%)</v>
      </c>
      <c r="T89" s="9">
        <f t="shared" si="6"/>
        <v>51</v>
      </c>
      <c r="U89" s="20" t="s">
        <v>1043</v>
      </c>
      <c r="V89" s="126" t="s">
        <v>1044</v>
      </c>
      <c r="W89" s="20" t="s">
        <v>1057</v>
      </c>
      <c r="X89" s="18">
        <v>1.1827956989247312</v>
      </c>
      <c r="Y89" s="18">
        <v>1.0925414301075282</v>
      </c>
      <c r="Z89" s="116">
        <v>4.5999999999999996</v>
      </c>
      <c r="AA89" s="18"/>
      <c r="AB89" s="75"/>
    </row>
    <row r="90" spans="1:28">
      <c r="A90" s="6" t="s">
        <v>641</v>
      </c>
      <c r="B90" s="6" t="str">
        <f t="shared" si="5"/>
        <v>Mahavir Auto  Diagnostics Pvt. Ltd_TL3338</v>
      </c>
      <c r="C90" s="6" t="s">
        <v>59</v>
      </c>
      <c r="D90" s="6" t="s">
        <v>121</v>
      </c>
      <c r="E90" s="5">
        <v>3338</v>
      </c>
      <c r="F90" s="3" t="s">
        <v>890</v>
      </c>
      <c r="G90" s="3" t="s">
        <v>328</v>
      </c>
      <c r="H90" s="3" t="s">
        <v>936</v>
      </c>
      <c r="I90" s="3" t="s">
        <v>466</v>
      </c>
      <c r="J90" s="9">
        <v>100</v>
      </c>
      <c r="K90" s="9">
        <v>100</v>
      </c>
      <c r="L90" s="9">
        <v>0</v>
      </c>
      <c r="M90" s="9">
        <v>50</v>
      </c>
      <c r="N90" s="9">
        <v>80</v>
      </c>
      <c r="O90" s="9">
        <v>80</v>
      </c>
      <c r="P90" s="9">
        <f t="shared" si="7"/>
        <v>410</v>
      </c>
      <c r="Q90" s="18">
        <v>0.18852459016393441</v>
      </c>
      <c r="R90" s="116">
        <v>4.9000000000000004</v>
      </c>
      <c r="S90" s="19" t="str">
        <f t="shared" si="4"/>
        <v>1001201A (19%)</v>
      </c>
      <c r="T90" s="9">
        <f t="shared" si="6"/>
        <v>77</v>
      </c>
      <c r="U90" s="20" t="s">
        <v>1043</v>
      </c>
      <c r="V90" s="126" t="s">
        <v>1045</v>
      </c>
      <c r="W90" s="20" t="s">
        <v>1055</v>
      </c>
      <c r="X90" s="18">
        <v>1.2035398230088497</v>
      </c>
      <c r="Y90" s="18" t="s">
        <v>1066</v>
      </c>
      <c r="Z90" s="116">
        <v>4.82</v>
      </c>
      <c r="AA90" s="18"/>
      <c r="AB90" s="75"/>
    </row>
    <row r="91" spans="1:28">
      <c r="A91" s="6" t="s">
        <v>641</v>
      </c>
      <c r="B91" s="6" t="str">
        <f t="shared" si="5"/>
        <v>Mahavir Auto  Diagnostics Pvt. Ltd_TL3338</v>
      </c>
      <c r="C91" s="6" t="s">
        <v>59</v>
      </c>
      <c r="D91" s="6" t="s">
        <v>122</v>
      </c>
      <c r="E91" s="5">
        <v>3338</v>
      </c>
      <c r="F91" s="3" t="s">
        <v>890</v>
      </c>
      <c r="G91" s="3" t="s">
        <v>937</v>
      </c>
      <c r="H91" s="3" t="s">
        <v>938</v>
      </c>
      <c r="I91" s="3" t="s">
        <v>466</v>
      </c>
      <c r="J91" s="9">
        <v>80</v>
      </c>
      <c r="K91" s="9">
        <v>100</v>
      </c>
      <c r="L91" s="9">
        <v>0</v>
      </c>
      <c r="M91" s="9">
        <v>50</v>
      </c>
      <c r="N91" s="9">
        <v>100</v>
      </c>
      <c r="O91" s="9">
        <v>0</v>
      </c>
      <c r="P91" s="9">
        <f t="shared" si="7"/>
        <v>330</v>
      </c>
      <c r="Q91" s="18">
        <v>0.12295081967213115</v>
      </c>
      <c r="R91" s="116">
        <v>5</v>
      </c>
      <c r="S91" s="19" t="str">
        <f t="shared" si="4"/>
        <v>1001202A (12%)</v>
      </c>
      <c r="T91" s="9">
        <f t="shared" si="6"/>
        <v>41</v>
      </c>
      <c r="U91" s="20" t="s">
        <v>1043</v>
      </c>
      <c r="V91" s="126" t="s">
        <v>1044</v>
      </c>
      <c r="W91" s="20" t="s">
        <v>1056</v>
      </c>
      <c r="X91" s="18">
        <v>1.2035398230088497</v>
      </c>
      <c r="Y91" s="18">
        <v>0.90316732528589561</v>
      </c>
      <c r="Z91" s="116">
        <v>5</v>
      </c>
      <c r="AA91" s="18"/>
      <c r="AB91" s="75"/>
    </row>
    <row r="92" spans="1:28">
      <c r="A92" s="6" t="s">
        <v>641</v>
      </c>
      <c r="B92" s="6" t="str">
        <f t="shared" si="5"/>
        <v>Mahavir Auto  Diagnostics Pvt. Ltd_TL3338</v>
      </c>
      <c r="C92" s="6" t="s">
        <v>59</v>
      </c>
      <c r="D92" s="5">
        <v>10208</v>
      </c>
      <c r="E92" s="5">
        <v>3338</v>
      </c>
      <c r="F92" s="3" t="s">
        <v>890</v>
      </c>
      <c r="G92" s="3" t="s">
        <v>939</v>
      </c>
      <c r="H92" s="3" t="s">
        <v>334</v>
      </c>
      <c r="I92" s="3" t="s">
        <v>466</v>
      </c>
      <c r="J92" s="9">
        <v>100</v>
      </c>
      <c r="K92" s="9">
        <v>100</v>
      </c>
      <c r="L92" s="9">
        <v>0</v>
      </c>
      <c r="M92" s="9">
        <v>50</v>
      </c>
      <c r="N92" s="9">
        <v>100</v>
      </c>
      <c r="O92" s="9">
        <v>0</v>
      </c>
      <c r="P92" s="9">
        <f t="shared" si="7"/>
        <v>350</v>
      </c>
      <c r="Q92" s="18">
        <v>0.36885245901639346</v>
      </c>
      <c r="R92" s="116">
        <v>4.7</v>
      </c>
      <c r="S92" s="19" t="str">
        <f t="shared" si="4"/>
        <v>10208 (37%)</v>
      </c>
      <c r="T92" s="9">
        <f t="shared" si="6"/>
        <v>129</v>
      </c>
      <c r="U92" s="20" t="s">
        <v>1043</v>
      </c>
      <c r="V92" s="126" t="s">
        <v>1044</v>
      </c>
      <c r="W92" s="20" t="s">
        <v>1041</v>
      </c>
      <c r="X92" s="18">
        <v>1.2035398230088497</v>
      </c>
      <c r="Y92" s="18">
        <v>0.90316732528589561</v>
      </c>
      <c r="Z92" s="116">
        <v>4.9400000000000004</v>
      </c>
      <c r="AA92" s="18"/>
      <c r="AB92" s="75"/>
    </row>
    <row r="93" spans="1:28">
      <c r="A93" s="6" t="s">
        <v>641</v>
      </c>
      <c r="B93" s="6" t="str">
        <f t="shared" si="5"/>
        <v>Mahavir Auto  Diagnostics Pvt. Ltd_TL3338</v>
      </c>
      <c r="C93" s="6" t="s">
        <v>59</v>
      </c>
      <c r="D93" s="5">
        <v>10012</v>
      </c>
      <c r="E93" s="5">
        <v>3338</v>
      </c>
      <c r="F93" s="3" t="s">
        <v>890</v>
      </c>
      <c r="G93" s="3" t="s">
        <v>329</v>
      </c>
      <c r="H93" s="3" t="s">
        <v>334</v>
      </c>
      <c r="I93" s="3" t="s">
        <v>466</v>
      </c>
      <c r="J93" s="9">
        <v>100</v>
      </c>
      <c r="K93" s="9">
        <v>100</v>
      </c>
      <c r="L93" s="9">
        <v>50</v>
      </c>
      <c r="M93" s="9">
        <v>50</v>
      </c>
      <c r="N93" s="9">
        <v>100</v>
      </c>
      <c r="O93" s="9">
        <v>0</v>
      </c>
      <c r="P93" s="9">
        <f t="shared" si="7"/>
        <v>400</v>
      </c>
      <c r="Q93" s="18">
        <v>0.31967213114754101</v>
      </c>
      <c r="R93" s="116">
        <v>4.7</v>
      </c>
      <c r="S93" s="19" t="str">
        <f t="shared" si="4"/>
        <v>10012 (32%)</v>
      </c>
      <c r="T93" s="9">
        <f t="shared" si="6"/>
        <v>128</v>
      </c>
      <c r="U93" s="20" t="s">
        <v>1043</v>
      </c>
      <c r="V93" s="126" t="s">
        <v>1044</v>
      </c>
      <c r="W93" s="20" t="s">
        <v>1041</v>
      </c>
      <c r="X93" s="18">
        <v>1.2035398230088497</v>
      </c>
      <c r="Y93" s="18">
        <v>0.90316732528589561</v>
      </c>
      <c r="Z93" s="116">
        <v>4.88</v>
      </c>
      <c r="AA93" s="18"/>
      <c r="AB93" s="75"/>
    </row>
    <row r="94" spans="1:28">
      <c r="A94" s="6" t="s">
        <v>869</v>
      </c>
      <c r="B94" s="6" t="str">
        <f t="shared" si="5"/>
        <v>Ring Road Motocorp Pvt Ltd2496</v>
      </c>
      <c r="C94" s="6" t="s">
        <v>1050</v>
      </c>
      <c r="D94" s="5">
        <v>10359</v>
      </c>
      <c r="E94" s="5">
        <v>2496</v>
      </c>
      <c r="F94" s="3" t="s">
        <v>889</v>
      </c>
      <c r="G94" s="3" t="s">
        <v>940</v>
      </c>
      <c r="H94" s="3" t="s">
        <v>306</v>
      </c>
      <c r="I94" s="3" t="s">
        <v>461</v>
      </c>
      <c r="J94" s="9">
        <v>80</v>
      </c>
      <c r="K94" s="9">
        <v>100</v>
      </c>
      <c r="L94" s="9">
        <v>50</v>
      </c>
      <c r="M94" s="9">
        <v>50</v>
      </c>
      <c r="N94" s="9">
        <v>100</v>
      </c>
      <c r="O94" s="9">
        <v>80</v>
      </c>
      <c r="P94" s="9">
        <f t="shared" si="7"/>
        <v>460</v>
      </c>
      <c r="Q94" s="18">
        <v>0.56692913385826771</v>
      </c>
      <c r="R94" s="116">
        <v>4.8</v>
      </c>
      <c r="S94" s="19" t="str">
        <f t="shared" si="4"/>
        <v>10359 (57%)</v>
      </c>
      <c r="T94" s="9">
        <f t="shared" si="6"/>
        <v>261</v>
      </c>
      <c r="U94" s="20" t="s">
        <v>1043</v>
      </c>
      <c r="V94" s="126" t="s">
        <v>1044</v>
      </c>
      <c r="W94" s="20" t="s">
        <v>1041</v>
      </c>
      <c r="X94" s="18">
        <v>0.93333333333333335</v>
      </c>
      <c r="Y94" s="18">
        <v>0.97390584153005511</v>
      </c>
      <c r="Z94" s="116">
        <v>4.96</v>
      </c>
      <c r="AA94" s="18"/>
      <c r="AB94" s="75"/>
    </row>
    <row r="95" spans="1:28">
      <c r="A95" s="6" t="s">
        <v>869</v>
      </c>
      <c r="B95" s="6" t="str">
        <f t="shared" si="5"/>
        <v>Ring Road Motocorp Pvt Ltd2496</v>
      </c>
      <c r="C95" s="6" t="s">
        <v>1050</v>
      </c>
      <c r="D95" s="5">
        <v>10363</v>
      </c>
      <c r="E95" s="5">
        <v>2496</v>
      </c>
      <c r="F95" s="3" t="s">
        <v>889</v>
      </c>
      <c r="G95" s="3" t="s">
        <v>941</v>
      </c>
      <c r="H95" s="3" t="s">
        <v>702</v>
      </c>
      <c r="I95" s="3" t="s">
        <v>461</v>
      </c>
      <c r="J95" s="9">
        <v>100</v>
      </c>
      <c r="K95" s="9">
        <v>100</v>
      </c>
      <c r="L95" s="9">
        <v>50</v>
      </c>
      <c r="M95" s="9">
        <v>0</v>
      </c>
      <c r="N95" s="9">
        <v>80</v>
      </c>
      <c r="O95" s="9">
        <v>80</v>
      </c>
      <c r="P95" s="9">
        <f t="shared" si="7"/>
        <v>410</v>
      </c>
      <c r="Q95" s="18">
        <v>0.43307086614173229</v>
      </c>
      <c r="R95" s="116">
        <v>4.8</v>
      </c>
      <c r="S95" s="19" t="str">
        <f t="shared" si="4"/>
        <v>10363 (43%)</v>
      </c>
      <c r="T95" s="9">
        <f t="shared" si="6"/>
        <v>178</v>
      </c>
      <c r="U95" s="20" t="s">
        <v>1043</v>
      </c>
      <c r="V95" s="126" t="s">
        <v>1044</v>
      </c>
      <c r="W95" s="20" t="s">
        <v>1041</v>
      </c>
      <c r="X95" s="18">
        <v>0.93333333333333335</v>
      </c>
      <c r="Y95" s="18">
        <v>0.97390584153005511</v>
      </c>
      <c r="Z95" s="116">
        <v>4.71</v>
      </c>
      <c r="AA95" s="18"/>
      <c r="AB95" s="75"/>
    </row>
    <row r="96" spans="1:28">
      <c r="A96" s="6" t="s">
        <v>642</v>
      </c>
      <c r="B96" s="6" t="str">
        <f t="shared" si="5"/>
        <v>MM Auto Sales Pvt Ltd.2958</v>
      </c>
      <c r="C96" s="6" t="s">
        <v>31</v>
      </c>
      <c r="D96" s="5">
        <v>10393</v>
      </c>
      <c r="E96" s="5">
        <v>2958</v>
      </c>
      <c r="F96" s="3" t="s">
        <v>890</v>
      </c>
      <c r="G96" s="3" t="s">
        <v>330</v>
      </c>
      <c r="H96" s="3" t="s">
        <v>331</v>
      </c>
      <c r="I96" s="3" t="s">
        <v>463</v>
      </c>
      <c r="J96" s="9">
        <v>100</v>
      </c>
      <c r="K96" s="9">
        <v>100</v>
      </c>
      <c r="L96" s="9">
        <v>0</v>
      </c>
      <c r="M96" s="9">
        <v>0</v>
      </c>
      <c r="N96" s="9">
        <v>100</v>
      </c>
      <c r="O96" s="9">
        <v>0</v>
      </c>
      <c r="P96" s="9">
        <f t="shared" si="7"/>
        <v>0</v>
      </c>
      <c r="Q96" s="18">
        <v>0.65517241379310343</v>
      </c>
      <c r="R96" s="116">
        <v>4.8</v>
      </c>
      <c r="S96" s="19" t="str">
        <f t="shared" si="4"/>
        <v>10393 (66%)</v>
      </c>
      <c r="T96" s="9">
        <f t="shared" si="6"/>
        <v>0</v>
      </c>
      <c r="U96" s="20" t="s">
        <v>1043</v>
      </c>
      <c r="V96" s="126" t="s">
        <v>1044</v>
      </c>
      <c r="W96" s="20" t="s">
        <v>1040</v>
      </c>
      <c r="X96" s="18">
        <v>0.75609756097560976</v>
      </c>
      <c r="Y96" s="18">
        <v>0.87253902970297015</v>
      </c>
      <c r="Z96" s="116">
        <v>4.91</v>
      </c>
      <c r="AA96" s="18"/>
      <c r="AB96" s="75"/>
    </row>
    <row r="97" spans="1:28">
      <c r="A97" s="6" t="s">
        <v>643</v>
      </c>
      <c r="B97" s="6" t="str">
        <f t="shared" si="5"/>
        <v>Mody India Cars Pvt Ltd_MH2515</v>
      </c>
      <c r="C97" s="6" t="s">
        <v>60</v>
      </c>
      <c r="D97" s="5">
        <v>10345</v>
      </c>
      <c r="E97" s="5">
        <v>2515</v>
      </c>
      <c r="F97" s="3" t="s">
        <v>889</v>
      </c>
      <c r="G97" s="3" t="s">
        <v>332</v>
      </c>
      <c r="H97" s="3" t="s">
        <v>200</v>
      </c>
      <c r="I97" s="3" t="s">
        <v>467</v>
      </c>
      <c r="J97" s="9">
        <v>100</v>
      </c>
      <c r="K97" s="9">
        <v>100</v>
      </c>
      <c r="L97" s="9">
        <v>0</v>
      </c>
      <c r="M97" s="9">
        <v>50</v>
      </c>
      <c r="N97" s="9">
        <v>100</v>
      </c>
      <c r="O97" s="9">
        <v>0</v>
      </c>
      <c r="P97" s="9">
        <f t="shared" si="7"/>
        <v>350</v>
      </c>
      <c r="Q97" s="18">
        <v>0.44262295081967212</v>
      </c>
      <c r="R97" s="116">
        <v>4.9000000000000004</v>
      </c>
      <c r="S97" s="19" t="str">
        <f t="shared" si="4"/>
        <v>10345 (44%)</v>
      </c>
      <c r="T97" s="9">
        <f t="shared" si="6"/>
        <v>155</v>
      </c>
      <c r="U97" s="20" t="s">
        <v>1043</v>
      </c>
      <c r="V97" s="126" t="s">
        <v>1044</v>
      </c>
      <c r="W97" s="20" t="s">
        <v>1041</v>
      </c>
      <c r="X97" s="18">
        <v>1.4554455445544554</v>
      </c>
      <c r="Y97" s="18">
        <v>1.0094709439555354</v>
      </c>
      <c r="Z97" s="116">
        <v>4.95</v>
      </c>
      <c r="AA97" s="18"/>
      <c r="AB97" s="75"/>
    </row>
    <row r="98" spans="1:28">
      <c r="A98" s="6" t="s">
        <v>643</v>
      </c>
      <c r="B98" s="6" t="str">
        <f t="shared" si="5"/>
        <v>Mody India Cars Pvt Ltd_MH2515</v>
      </c>
      <c r="C98" s="6" t="s">
        <v>60</v>
      </c>
      <c r="D98" s="3">
        <v>10357</v>
      </c>
      <c r="E98" s="5">
        <v>2515</v>
      </c>
      <c r="F98" s="3" t="s">
        <v>889</v>
      </c>
      <c r="G98" s="3" t="s">
        <v>942</v>
      </c>
      <c r="H98" s="3" t="s">
        <v>200</v>
      </c>
      <c r="I98" s="3" t="s">
        <v>467</v>
      </c>
      <c r="J98" s="9">
        <v>100</v>
      </c>
      <c r="K98" s="9">
        <v>80</v>
      </c>
      <c r="L98" s="9">
        <v>50</v>
      </c>
      <c r="M98" s="9">
        <v>50</v>
      </c>
      <c r="N98" s="9">
        <v>80</v>
      </c>
      <c r="O98" s="9">
        <v>80</v>
      </c>
      <c r="P98" s="9">
        <f t="shared" si="7"/>
        <v>440</v>
      </c>
      <c r="Q98" s="18">
        <v>0.34426229508196721</v>
      </c>
      <c r="R98" s="116">
        <v>4.8</v>
      </c>
      <c r="S98" s="19" t="str">
        <f t="shared" si="4"/>
        <v>10357 (34%)</v>
      </c>
      <c r="T98" s="9">
        <f t="shared" si="6"/>
        <v>151</v>
      </c>
      <c r="U98" s="20" t="s">
        <v>1043</v>
      </c>
      <c r="V98" s="126" t="s">
        <v>1044</v>
      </c>
      <c r="W98" s="20" t="s">
        <v>1041</v>
      </c>
      <c r="X98" s="18">
        <v>1.4554455445544554</v>
      </c>
      <c r="Y98" s="18">
        <v>1.0094709439555354</v>
      </c>
      <c r="Z98" s="116">
        <v>4.84</v>
      </c>
      <c r="AA98" s="18"/>
      <c r="AB98" s="75"/>
    </row>
    <row r="99" spans="1:28">
      <c r="A99" s="6" t="s">
        <v>643</v>
      </c>
      <c r="B99" s="6" t="str">
        <f t="shared" si="5"/>
        <v>Mody India Cars Pvt Ltd_MH2515</v>
      </c>
      <c r="C99" s="6" t="s">
        <v>60</v>
      </c>
      <c r="D99" s="6" t="s">
        <v>123</v>
      </c>
      <c r="E99" s="5">
        <v>2515</v>
      </c>
      <c r="F99" s="3" t="s">
        <v>889</v>
      </c>
      <c r="G99" s="3" t="s">
        <v>943</v>
      </c>
      <c r="H99" s="3" t="s">
        <v>200</v>
      </c>
      <c r="I99" s="3" t="s">
        <v>467</v>
      </c>
      <c r="J99" s="9">
        <v>100</v>
      </c>
      <c r="K99" s="9">
        <v>100</v>
      </c>
      <c r="L99" s="9">
        <v>0</v>
      </c>
      <c r="M99" s="9">
        <v>50</v>
      </c>
      <c r="N99" s="9">
        <v>100</v>
      </c>
      <c r="O99" s="9">
        <v>0</v>
      </c>
      <c r="P99" s="9">
        <f t="shared" si="7"/>
        <v>350</v>
      </c>
      <c r="Q99" s="18">
        <v>0.21311475409836064</v>
      </c>
      <c r="R99" s="116">
        <v>4.9000000000000004</v>
      </c>
      <c r="S99" s="19" t="str">
        <f t="shared" si="4"/>
        <v>1035701A (21%)</v>
      </c>
      <c r="T99" s="9">
        <f t="shared" si="6"/>
        <v>75</v>
      </c>
      <c r="U99" s="20" t="s">
        <v>1043</v>
      </c>
      <c r="V99" s="126" t="s">
        <v>1045</v>
      </c>
      <c r="W99" s="20" t="s">
        <v>1055</v>
      </c>
      <c r="X99" s="18">
        <v>1.4554455445544554</v>
      </c>
      <c r="Y99" s="18" t="s">
        <v>1066</v>
      </c>
      <c r="Z99" s="116">
        <v>4.96</v>
      </c>
      <c r="AA99" s="18"/>
      <c r="AB99" s="75"/>
    </row>
    <row r="100" spans="1:28">
      <c r="A100" s="6" t="s">
        <v>644</v>
      </c>
      <c r="B100" s="6" t="str">
        <f t="shared" si="5"/>
        <v>Mody India Cars Pvt Ltd_TL3117</v>
      </c>
      <c r="C100" s="6" t="s">
        <v>61</v>
      </c>
      <c r="D100" s="5">
        <v>10368</v>
      </c>
      <c r="E100" s="5">
        <v>3117</v>
      </c>
      <c r="F100" s="3" t="s">
        <v>890</v>
      </c>
      <c r="G100" s="3" t="s">
        <v>333</v>
      </c>
      <c r="H100" s="3" t="s">
        <v>334</v>
      </c>
      <c r="I100" s="3" t="s">
        <v>465</v>
      </c>
      <c r="J100" s="9">
        <v>100</v>
      </c>
      <c r="K100" s="9">
        <v>0</v>
      </c>
      <c r="L100" s="9">
        <v>40</v>
      </c>
      <c r="M100" s="9">
        <v>50</v>
      </c>
      <c r="N100" s="9">
        <v>100</v>
      </c>
      <c r="O100" s="9">
        <v>80</v>
      </c>
      <c r="P100" s="9">
        <f t="shared" si="7"/>
        <v>370</v>
      </c>
      <c r="Q100" s="18">
        <v>0.53846153846153844</v>
      </c>
      <c r="R100" s="116">
        <v>4.9000000000000004</v>
      </c>
      <c r="S100" s="19" t="str">
        <f t="shared" si="4"/>
        <v>10368 (54%)</v>
      </c>
      <c r="T100" s="9">
        <f t="shared" si="6"/>
        <v>199</v>
      </c>
      <c r="U100" s="20" t="s">
        <v>1043</v>
      </c>
      <c r="V100" s="126" t="s">
        <v>1044</v>
      </c>
      <c r="W100" s="20" t="s">
        <v>1041</v>
      </c>
      <c r="X100" s="18">
        <v>1.1604938271604939</v>
      </c>
      <c r="Y100" s="18">
        <v>1.1426878872549024</v>
      </c>
      <c r="Z100" s="116">
        <v>4.8899999999999997</v>
      </c>
      <c r="AA100" s="18"/>
      <c r="AB100" s="75"/>
    </row>
    <row r="101" spans="1:28">
      <c r="A101" s="6" t="s">
        <v>644</v>
      </c>
      <c r="B101" s="6" t="str">
        <f t="shared" si="5"/>
        <v>Mody India Cars Pvt Ltd_TL3117</v>
      </c>
      <c r="C101" s="6" t="s">
        <v>61</v>
      </c>
      <c r="D101" s="6" t="s">
        <v>124</v>
      </c>
      <c r="E101" s="5">
        <v>3117</v>
      </c>
      <c r="F101" s="3" t="s">
        <v>890</v>
      </c>
      <c r="G101" s="3" t="s">
        <v>335</v>
      </c>
      <c r="H101" s="3" t="s">
        <v>336</v>
      </c>
      <c r="I101" s="3" t="s">
        <v>465</v>
      </c>
      <c r="J101" s="9">
        <v>100</v>
      </c>
      <c r="K101" s="9">
        <v>100</v>
      </c>
      <c r="L101" s="9">
        <v>40</v>
      </c>
      <c r="M101" s="9">
        <v>50</v>
      </c>
      <c r="N101" s="9">
        <v>100</v>
      </c>
      <c r="O101" s="9">
        <v>0</v>
      </c>
      <c r="P101" s="9">
        <f t="shared" si="7"/>
        <v>390</v>
      </c>
      <c r="Q101" s="18">
        <v>0.17948717948717949</v>
      </c>
      <c r="R101" s="116">
        <v>5</v>
      </c>
      <c r="S101" s="19" t="str">
        <f t="shared" si="4"/>
        <v>2036801C (18%)</v>
      </c>
      <c r="T101" s="9">
        <f t="shared" si="6"/>
        <v>70</v>
      </c>
      <c r="U101" s="20" t="s">
        <v>1043</v>
      </c>
      <c r="V101" s="126" t="s">
        <v>1044</v>
      </c>
      <c r="W101" s="20" t="s">
        <v>1057</v>
      </c>
      <c r="X101" s="18">
        <v>1.1604938271604939</v>
      </c>
      <c r="Y101" s="18">
        <v>1.1426878872549024</v>
      </c>
      <c r="Z101" s="116">
        <v>5</v>
      </c>
      <c r="AA101" s="18"/>
      <c r="AB101" s="75"/>
    </row>
    <row r="102" spans="1:28">
      <c r="A102" s="6" t="s">
        <v>644</v>
      </c>
      <c r="B102" s="6" t="str">
        <f t="shared" si="5"/>
        <v>Mody India Cars Pvt Ltd_TL3117</v>
      </c>
      <c r="C102" s="6" t="s">
        <v>61</v>
      </c>
      <c r="D102" s="6" t="s">
        <v>125</v>
      </c>
      <c r="E102" s="5">
        <v>3117</v>
      </c>
      <c r="F102" s="3" t="s">
        <v>890</v>
      </c>
      <c r="G102" s="3" t="s">
        <v>337</v>
      </c>
      <c r="H102" s="3" t="s">
        <v>334</v>
      </c>
      <c r="I102" s="3" t="s">
        <v>465</v>
      </c>
      <c r="J102" s="9">
        <v>100</v>
      </c>
      <c r="K102" s="9">
        <v>100</v>
      </c>
      <c r="L102" s="9">
        <v>40</v>
      </c>
      <c r="M102" s="9">
        <v>50</v>
      </c>
      <c r="N102" s="9">
        <v>80</v>
      </c>
      <c r="O102" s="9">
        <v>0</v>
      </c>
      <c r="P102" s="9">
        <f t="shared" si="7"/>
        <v>370</v>
      </c>
      <c r="Q102" s="18">
        <v>0.17948717948717949</v>
      </c>
      <c r="R102" s="116">
        <v>4.9000000000000004</v>
      </c>
      <c r="S102" s="19" t="str">
        <f t="shared" si="4"/>
        <v>2036802C (18%)</v>
      </c>
      <c r="T102" s="9">
        <f t="shared" si="6"/>
        <v>66</v>
      </c>
      <c r="U102" s="20" t="s">
        <v>1043</v>
      </c>
      <c r="V102" s="126" t="s">
        <v>1044</v>
      </c>
      <c r="W102" s="20" t="s">
        <v>1057</v>
      </c>
      <c r="X102" s="18">
        <v>1.1604938271604939</v>
      </c>
      <c r="Y102" s="18">
        <v>1.1426878872549024</v>
      </c>
      <c r="Z102" s="116">
        <v>4.8</v>
      </c>
      <c r="AA102" s="18"/>
      <c r="AB102" s="75"/>
    </row>
    <row r="103" spans="1:28">
      <c r="A103" s="6" t="s">
        <v>645</v>
      </c>
      <c r="B103" s="6" t="str">
        <f t="shared" si="5"/>
        <v>Moharir Motors Pvt. Ltd1367</v>
      </c>
      <c r="C103" s="6" t="s">
        <v>32</v>
      </c>
      <c r="D103" s="5">
        <v>10370</v>
      </c>
      <c r="E103" s="5">
        <v>1367</v>
      </c>
      <c r="F103" s="3" t="s">
        <v>889</v>
      </c>
      <c r="G103" s="3" t="s">
        <v>944</v>
      </c>
      <c r="H103" s="3" t="s">
        <v>338</v>
      </c>
      <c r="I103" s="3" t="s">
        <v>458</v>
      </c>
      <c r="J103" s="9" t="s">
        <v>587</v>
      </c>
      <c r="K103" s="9" t="s">
        <v>587</v>
      </c>
      <c r="L103" s="9" t="s">
        <v>587</v>
      </c>
      <c r="M103" s="9" t="s">
        <v>587</v>
      </c>
      <c r="N103" s="9" t="s">
        <v>587</v>
      </c>
      <c r="O103" s="9" t="s">
        <v>587</v>
      </c>
      <c r="P103" s="9">
        <f t="shared" si="7"/>
        <v>0</v>
      </c>
      <c r="Q103" s="18">
        <v>0</v>
      </c>
      <c r="R103" s="116">
        <v>0</v>
      </c>
      <c r="S103" s="19" t="str">
        <f t="shared" si="4"/>
        <v>10370 (0%)</v>
      </c>
      <c r="T103" s="9">
        <f t="shared" si="6"/>
        <v>0</v>
      </c>
      <c r="U103" s="20" t="s">
        <v>1043</v>
      </c>
      <c r="V103" s="126" t="s">
        <v>1044</v>
      </c>
      <c r="W103" s="20" t="s">
        <v>1040</v>
      </c>
      <c r="X103" s="18">
        <v>0</v>
      </c>
      <c r="Y103" s="18">
        <v>0</v>
      </c>
      <c r="Z103" s="116">
        <v>0</v>
      </c>
      <c r="AA103" s="18"/>
      <c r="AB103" s="75"/>
    </row>
    <row r="104" spans="1:28">
      <c r="A104" s="6" t="s">
        <v>645</v>
      </c>
      <c r="B104" s="6" t="str">
        <f t="shared" si="5"/>
        <v>Moharir Motors Pvt. Ltd1367</v>
      </c>
      <c r="C104" s="6" t="s">
        <v>32</v>
      </c>
      <c r="D104" s="6" t="s">
        <v>126</v>
      </c>
      <c r="E104" s="5">
        <v>1367</v>
      </c>
      <c r="F104" s="3" t="s">
        <v>889</v>
      </c>
      <c r="G104" s="3" t="s">
        <v>945</v>
      </c>
      <c r="H104" s="3" t="s">
        <v>339</v>
      </c>
      <c r="I104" s="3" t="s">
        <v>458</v>
      </c>
      <c r="J104" s="9" t="s">
        <v>587</v>
      </c>
      <c r="K104" s="9" t="s">
        <v>587</v>
      </c>
      <c r="L104" s="9" t="s">
        <v>587</v>
      </c>
      <c r="M104" s="9" t="s">
        <v>587</v>
      </c>
      <c r="N104" s="9" t="s">
        <v>587</v>
      </c>
      <c r="O104" s="9" t="s">
        <v>587</v>
      </c>
      <c r="P104" s="9">
        <f t="shared" si="7"/>
        <v>0</v>
      </c>
      <c r="Q104" s="18">
        <v>0</v>
      </c>
      <c r="R104" s="116">
        <v>0</v>
      </c>
      <c r="S104" s="19" t="str">
        <f t="shared" si="4"/>
        <v>1037001C (0%)</v>
      </c>
      <c r="T104" s="9">
        <f t="shared" si="6"/>
        <v>0</v>
      </c>
      <c r="U104" s="20" t="s">
        <v>1043</v>
      </c>
      <c r="V104" s="126" t="s">
        <v>1044</v>
      </c>
      <c r="W104" s="20" t="s">
        <v>1057</v>
      </c>
      <c r="X104" s="18">
        <v>0</v>
      </c>
      <c r="Y104" s="18">
        <v>0</v>
      </c>
      <c r="Z104" s="116">
        <v>0</v>
      </c>
      <c r="AA104" s="18"/>
      <c r="AB104" s="75"/>
    </row>
    <row r="105" spans="1:28">
      <c r="A105" s="6" t="s">
        <v>645</v>
      </c>
      <c r="B105" s="6" t="str">
        <f t="shared" si="5"/>
        <v>Moharir Motors Pvt. Ltd1367</v>
      </c>
      <c r="C105" s="6" t="s">
        <v>32</v>
      </c>
      <c r="D105" s="6" t="s">
        <v>127</v>
      </c>
      <c r="E105" s="5">
        <v>1367</v>
      </c>
      <c r="F105" s="3" t="s">
        <v>889</v>
      </c>
      <c r="G105" s="3" t="s">
        <v>340</v>
      </c>
      <c r="H105" s="3" t="s">
        <v>341</v>
      </c>
      <c r="I105" s="3" t="s">
        <v>458</v>
      </c>
      <c r="J105" s="9" t="s">
        <v>587</v>
      </c>
      <c r="K105" s="9" t="s">
        <v>587</v>
      </c>
      <c r="L105" s="9" t="s">
        <v>587</v>
      </c>
      <c r="M105" s="9" t="s">
        <v>587</v>
      </c>
      <c r="N105" s="9" t="s">
        <v>587</v>
      </c>
      <c r="O105" s="9" t="s">
        <v>587</v>
      </c>
      <c r="P105" s="9">
        <f t="shared" si="7"/>
        <v>0</v>
      </c>
      <c r="Q105" s="18">
        <v>0</v>
      </c>
      <c r="R105" s="116">
        <v>0</v>
      </c>
      <c r="S105" s="19" t="str">
        <f t="shared" si="4"/>
        <v>1037002C (0%)</v>
      </c>
      <c r="T105" s="9">
        <f t="shared" si="6"/>
        <v>0</v>
      </c>
      <c r="U105" s="20" t="s">
        <v>1043</v>
      </c>
      <c r="V105" s="126" t="s">
        <v>1044</v>
      </c>
      <c r="W105" s="20" t="s">
        <v>1057</v>
      </c>
      <c r="X105" s="18">
        <v>0</v>
      </c>
      <c r="Y105" s="18">
        <v>0</v>
      </c>
      <c r="Z105" s="116">
        <v>0</v>
      </c>
      <c r="AA105" s="18"/>
      <c r="AB105" s="75"/>
    </row>
    <row r="106" spans="1:28">
      <c r="A106" s="6" t="s">
        <v>646</v>
      </c>
      <c r="B106" s="6" t="str">
        <f t="shared" si="5"/>
        <v>Pal Prateek Automobile LLP1595</v>
      </c>
      <c r="C106" s="6" t="s">
        <v>33</v>
      </c>
      <c r="D106" s="6">
        <v>10387</v>
      </c>
      <c r="E106" s="5">
        <v>1595</v>
      </c>
      <c r="F106" s="3" t="s">
        <v>889</v>
      </c>
      <c r="G106" s="3" t="s">
        <v>342</v>
      </c>
      <c r="H106" s="3" t="s">
        <v>343</v>
      </c>
      <c r="I106" s="3" t="s">
        <v>464</v>
      </c>
      <c r="J106" s="9">
        <v>100</v>
      </c>
      <c r="K106" s="9">
        <v>80</v>
      </c>
      <c r="L106" s="9">
        <v>50</v>
      </c>
      <c r="M106" s="9">
        <v>50</v>
      </c>
      <c r="N106" s="9">
        <v>100</v>
      </c>
      <c r="O106" s="9">
        <v>80</v>
      </c>
      <c r="P106" s="9">
        <f t="shared" si="7"/>
        <v>460</v>
      </c>
      <c r="Q106" s="18">
        <v>0.63414634146341464</v>
      </c>
      <c r="R106" s="116">
        <v>5</v>
      </c>
      <c r="S106" s="19" t="str">
        <f t="shared" si="4"/>
        <v>10387 (63%)</v>
      </c>
      <c r="T106" s="9">
        <f t="shared" si="6"/>
        <v>292</v>
      </c>
      <c r="U106" s="20" t="s">
        <v>1043</v>
      </c>
      <c r="V106" s="126" t="s">
        <v>1044</v>
      </c>
      <c r="W106" s="20" t="s">
        <v>1040</v>
      </c>
      <c r="X106" s="18">
        <v>1.2307692307692308</v>
      </c>
      <c r="Y106" s="18">
        <v>0.92377664900662093</v>
      </c>
      <c r="Z106" s="116">
        <v>5</v>
      </c>
      <c r="AA106" s="18"/>
      <c r="AB106" s="75"/>
    </row>
    <row r="107" spans="1:28">
      <c r="A107" s="6" t="s">
        <v>646</v>
      </c>
      <c r="B107" s="6" t="str">
        <f t="shared" si="5"/>
        <v>Pal Prateek Automobile LLP1595</v>
      </c>
      <c r="C107" s="6" t="s">
        <v>33</v>
      </c>
      <c r="D107" s="5" t="s">
        <v>128</v>
      </c>
      <c r="E107" s="5">
        <v>1595</v>
      </c>
      <c r="F107" s="3" t="s">
        <v>889</v>
      </c>
      <c r="G107" s="3" t="s">
        <v>946</v>
      </c>
      <c r="H107" s="3" t="s">
        <v>344</v>
      </c>
      <c r="I107" s="3" t="s">
        <v>464</v>
      </c>
      <c r="J107" s="9">
        <v>80</v>
      </c>
      <c r="K107" s="9">
        <v>100</v>
      </c>
      <c r="L107" s="9">
        <v>50</v>
      </c>
      <c r="M107" s="9">
        <v>50</v>
      </c>
      <c r="N107" s="9">
        <v>100</v>
      </c>
      <c r="O107" s="9">
        <v>80</v>
      </c>
      <c r="P107" s="9">
        <f t="shared" si="7"/>
        <v>460</v>
      </c>
      <c r="Q107" s="18">
        <v>0.36585365853658536</v>
      </c>
      <c r="R107" s="116">
        <v>4.9000000000000004</v>
      </c>
      <c r="S107" s="19" t="str">
        <f t="shared" si="4"/>
        <v>1038701A (37%)</v>
      </c>
      <c r="T107" s="9">
        <f t="shared" si="6"/>
        <v>168</v>
      </c>
      <c r="U107" s="20" t="s">
        <v>1043</v>
      </c>
      <c r="V107" s="126" t="s">
        <v>1045</v>
      </c>
      <c r="W107" s="20" t="s">
        <v>1055</v>
      </c>
      <c r="X107" s="18">
        <v>1.2307692307692308</v>
      </c>
      <c r="Y107" s="18" t="s">
        <v>1066</v>
      </c>
      <c r="Z107" s="116">
        <v>5</v>
      </c>
      <c r="AA107" s="18"/>
      <c r="AB107" s="75"/>
    </row>
    <row r="108" spans="1:28">
      <c r="A108" s="6" t="s">
        <v>647</v>
      </c>
      <c r="B108" s="6" t="str">
        <f t="shared" si="5"/>
        <v>Patni Autoventures LLP2100</v>
      </c>
      <c r="C108" s="6" t="s">
        <v>34</v>
      </c>
      <c r="D108" s="6">
        <v>10378</v>
      </c>
      <c r="E108" s="5">
        <v>2100</v>
      </c>
      <c r="F108" s="3" t="s">
        <v>889</v>
      </c>
      <c r="G108" s="3" t="s">
        <v>947</v>
      </c>
      <c r="H108" s="3" t="s">
        <v>345</v>
      </c>
      <c r="I108" s="3" t="s">
        <v>458</v>
      </c>
      <c r="J108" s="9">
        <v>80</v>
      </c>
      <c r="K108" s="9">
        <v>100</v>
      </c>
      <c r="L108" s="9">
        <v>50</v>
      </c>
      <c r="M108" s="9">
        <v>0</v>
      </c>
      <c r="N108" s="9">
        <v>100</v>
      </c>
      <c r="O108" s="9">
        <v>0</v>
      </c>
      <c r="P108" s="9">
        <f t="shared" si="7"/>
        <v>330</v>
      </c>
      <c r="Q108" s="18">
        <v>0.56122448979591832</v>
      </c>
      <c r="R108" s="116">
        <v>4.8</v>
      </c>
      <c r="S108" s="19" t="str">
        <f t="shared" si="4"/>
        <v>10378 (56%)</v>
      </c>
      <c r="T108" s="9">
        <f t="shared" si="6"/>
        <v>185</v>
      </c>
      <c r="U108" s="20" t="s">
        <v>1043</v>
      </c>
      <c r="V108" s="126" t="s">
        <v>1044</v>
      </c>
      <c r="W108" s="20" t="s">
        <v>1041</v>
      </c>
      <c r="X108" s="18">
        <v>1.1584158415841583</v>
      </c>
      <c r="Y108" s="18">
        <v>1.0981531626213601</v>
      </c>
      <c r="Z108" s="116">
        <v>4.8499999999999996</v>
      </c>
      <c r="AA108" s="18"/>
      <c r="AB108" s="75"/>
    </row>
    <row r="109" spans="1:28">
      <c r="A109" s="6" t="s">
        <v>647</v>
      </c>
      <c r="B109" s="6" t="str">
        <f t="shared" si="5"/>
        <v>Patni Autoventures LLP2100</v>
      </c>
      <c r="C109" s="6" t="s">
        <v>34</v>
      </c>
      <c r="D109" s="5" t="s">
        <v>129</v>
      </c>
      <c r="E109" s="5">
        <v>2100</v>
      </c>
      <c r="F109" s="3" t="s">
        <v>889</v>
      </c>
      <c r="G109" s="3" t="s">
        <v>948</v>
      </c>
      <c r="H109" s="3" t="s">
        <v>346</v>
      </c>
      <c r="I109" s="3" t="s">
        <v>458</v>
      </c>
      <c r="J109" s="9">
        <v>80</v>
      </c>
      <c r="K109" s="9">
        <v>100</v>
      </c>
      <c r="L109" s="9">
        <v>50</v>
      </c>
      <c r="M109" s="9">
        <v>0</v>
      </c>
      <c r="N109" s="9">
        <v>0</v>
      </c>
      <c r="O109" s="9">
        <v>100</v>
      </c>
      <c r="P109" s="9">
        <f t="shared" si="7"/>
        <v>0</v>
      </c>
      <c r="Q109" s="18">
        <v>0.20408163265306123</v>
      </c>
      <c r="R109" s="116">
        <v>4.9000000000000004</v>
      </c>
      <c r="S109" s="19" t="str">
        <f t="shared" si="4"/>
        <v>1037801A (20%)</v>
      </c>
      <c r="T109" s="9">
        <f t="shared" si="6"/>
        <v>0</v>
      </c>
      <c r="U109" s="20" t="s">
        <v>1043</v>
      </c>
      <c r="V109" s="126" t="s">
        <v>1044</v>
      </c>
      <c r="W109" s="20" t="s">
        <v>1056</v>
      </c>
      <c r="X109" s="18">
        <v>1.1584158415841583</v>
      </c>
      <c r="Y109" s="18">
        <v>1.0981531626213601</v>
      </c>
      <c r="Z109" s="116">
        <v>4.58</v>
      </c>
      <c r="AA109" s="18"/>
      <c r="AB109" s="75"/>
    </row>
    <row r="110" spans="1:28">
      <c r="A110" s="6" t="s">
        <v>647</v>
      </c>
      <c r="B110" s="6" t="str">
        <f t="shared" si="5"/>
        <v>Patni Autoventures LLP2100</v>
      </c>
      <c r="C110" s="6" t="s">
        <v>34</v>
      </c>
      <c r="D110" s="5" t="s">
        <v>130</v>
      </c>
      <c r="E110" s="5">
        <v>2100</v>
      </c>
      <c r="F110" s="3" t="s">
        <v>889</v>
      </c>
      <c r="G110" s="3" t="s">
        <v>949</v>
      </c>
      <c r="H110" s="3" t="s">
        <v>347</v>
      </c>
      <c r="I110" s="3" t="s">
        <v>458</v>
      </c>
      <c r="J110" s="9">
        <v>100</v>
      </c>
      <c r="K110" s="9">
        <v>80</v>
      </c>
      <c r="L110" s="9">
        <v>50</v>
      </c>
      <c r="M110" s="9">
        <v>0</v>
      </c>
      <c r="N110" s="9">
        <v>100</v>
      </c>
      <c r="O110" s="9">
        <v>0</v>
      </c>
      <c r="P110" s="9">
        <f t="shared" si="7"/>
        <v>330</v>
      </c>
      <c r="Q110" s="18">
        <v>0.10204081632653061</v>
      </c>
      <c r="R110" s="116">
        <v>4.9000000000000004</v>
      </c>
      <c r="S110" s="19" t="str">
        <f t="shared" si="4"/>
        <v>2037802C (10%)</v>
      </c>
      <c r="T110" s="9">
        <f t="shared" si="6"/>
        <v>34</v>
      </c>
      <c r="U110" s="20" t="s">
        <v>1043</v>
      </c>
      <c r="V110" s="126" t="s">
        <v>1044</v>
      </c>
      <c r="W110" s="20" t="s">
        <v>1057</v>
      </c>
      <c r="X110" s="18">
        <v>1.1584158415841583</v>
      </c>
      <c r="Y110" s="18">
        <v>1.0981531626213601</v>
      </c>
      <c r="Z110" s="116">
        <v>5</v>
      </c>
      <c r="AA110" s="18"/>
      <c r="AB110" s="75"/>
    </row>
    <row r="111" spans="1:28">
      <c r="A111" s="6" t="s">
        <v>648</v>
      </c>
      <c r="B111" s="6" t="str">
        <f t="shared" si="5"/>
        <v>PPS Motors Pvt Ltd_AP1582</v>
      </c>
      <c r="C111" s="6" t="s">
        <v>62</v>
      </c>
      <c r="D111" s="5">
        <v>10371</v>
      </c>
      <c r="E111" s="5">
        <v>1582</v>
      </c>
      <c r="F111" s="3" t="s">
        <v>890</v>
      </c>
      <c r="G111" s="3" t="s">
        <v>950</v>
      </c>
      <c r="H111" s="3" t="s">
        <v>951</v>
      </c>
      <c r="I111" s="3" t="s">
        <v>469</v>
      </c>
      <c r="J111" s="9">
        <v>100</v>
      </c>
      <c r="K111" s="9">
        <v>100</v>
      </c>
      <c r="L111" s="9">
        <v>50</v>
      </c>
      <c r="M111" s="9">
        <v>50</v>
      </c>
      <c r="N111" s="9">
        <v>80</v>
      </c>
      <c r="O111" s="9">
        <v>80</v>
      </c>
      <c r="P111" s="9">
        <f t="shared" si="7"/>
        <v>460</v>
      </c>
      <c r="Q111" s="18">
        <v>0.48571428571428571</v>
      </c>
      <c r="R111" s="116">
        <v>4.9000000000000004</v>
      </c>
      <c r="S111" s="19" t="str">
        <f t="shared" si="4"/>
        <v>10371 (49%)</v>
      </c>
      <c r="T111" s="9">
        <f t="shared" si="6"/>
        <v>223</v>
      </c>
      <c r="U111" s="20" t="s">
        <v>1043</v>
      </c>
      <c r="V111" s="126" t="s">
        <v>1044</v>
      </c>
      <c r="W111" s="20" t="s">
        <v>1041</v>
      </c>
      <c r="X111" s="18">
        <v>2.0384615384615383</v>
      </c>
      <c r="Y111" s="18">
        <v>1.054599298013245</v>
      </c>
      <c r="Z111" s="116">
        <v>4.83</v>
      </c>
      <c r="AA111" s="18"/>
      <c r="AB111" s="75"/>
    </row>
    <row r="112" spans="1:28">
      <c r="A112" s="6" t="s">
        <v>648</v>
      </c>
      <c r="B112" s="6" t="str">
        <f t="shared" si="5"/>
        <v>PPS Motors Pvt Ltd_AP1582</v>
      </c>
      <c r="C112" s="6" t="s">
        <v>62</v>
      </c>
      <c r="D112" s="6" t="s">
        <v>131</v>
      </c>
      <c r="E112" s="5">
        <v>1582</v>
      </c>
      <c r="F112" s="3" t="s">
        <v>890</v>
      </c>
      <c r="G112" s="3" t="s">
        <v>952</v>
      </c>
      <c r="H112" s="3" t="s">
        <v>953</v>
      </c>
      <c r="I112" s="3" t="s">
        <v>469</v>
      </c>
      <c r="J112" s="9">
        <v>100</v>
      </c>
      <c r="K112" s="9">
        <v>80</v>
      </c>
      <c r="L112" s="9">
        <v>50</v>
      </c>
      <c r="M112" s="9">
        <v>50</v>
      </c>
      <c r="N112" s="9">
        <v>100</v>
      </c>
      <c r="O112" s="9">
        <v>80</v>
      </c>
      <c r="P112" s="9">
        <f t="shared" si="7"/>
        <v>460</v>
      </c>
      <c r="Q112" s="18">
        <v>0.25714285714285712</v>
      </c>
      <c r="R112" s="116">
        <v>4.9000000000000004</v>
      </c>
      <c r="S112" s="19" t="str">
        <f t="shared" si="4"/>
        <v>2037101C (26%)</v>
      </c>
      <c r="T112" s="9">
        <f t="shared" si="6"/>
        <v>118</v>
      </c>
      <c r="U112" s="20" t="s">
        <v>1043</v>
      </c>
      <c r="V112" s="126" t="s">
        <v>1044</v>
      </c>
      <c r="W112" s="20" t="s">
        <v>1057</v>
      </c>
      <c r="X112" s="18">
        <v>2.0384615384615383</v>
      </c>
      <c r="Y112" s="18">
        <v>1.054599298013245</v>
      </c>
      <c r="Z112" s="116">
        <v>5</v>
      </c>
      <c r="AA112" s="18"/>
      <c r="AB112" s="75"/>
    </row>
    <row r="113" spans="1:28">
      <c r="A113" s="6" t="s">
        <v>648</v>
      </c>
      <c r="B113" s="6" t="str">
        <f t="shared" si="5"/>
        <v>PPS Motors Pvt Ltd_AP1582</v>
      </c>
      <c r="C113" s="6" t="s">
        <v>62</v>
      </c>
      <c r="D113" s="6" t="s">
        <v>132</v>
      </c>
      <c r="E113" s="5">
        <v>1582</v>
      </c>
      <c r="F113" s="3" t="s">
        <v>890</v>
      </c>
      <c r="G113" s="3" t="s">
        <v>954</v>
      </c>
      <c r="H113" s="3" t="s">
        <v>955</v>
      </c>
      <c r="I113" s="3" t="s">
        <v>469</v>
      </c>
      <c r="J113" s="9">
        <v>100</v>
      </c>
      <c r="K113" s="9">
        <v>80</v>
      </c>
      <c r="L113" s="9">
        <v>50</v>
      </c>
      <c r="M113" s="9">
        <v>50</v>
      </c>
      <c r="N113" s="9">
        <v>100</v>
      </c>
      <c r="O113" s="9">
        <v>80</v>
      </c>
      <c r="P113" s="9">
        <f t="shared" si="7"/>
        <v>460</v>
      </c>
      <c r="Q113" s="18">
        <v>0.25714285714285712</v>
      </c>
      <c r="R113" s="116">
        <v>4.8</v>
      </c>
      <c r="S113" s="19" t="str">
        <f t="shared" si="4"/>
        <v>2037102C (26%)</v>
      </c>
      <c r="T113" s="9">
        <f t="shared" si="6"/>
        <v>118</v>
      </c>
      <c r="U113" s="20" t="s">
        <v>1043</v>
      </c>
      <c r="V113" s="126" t="s">
        <v>1044</v>
      </c>
      <c r="W113" s="20" t="s">
        <v>1057</v>
      </c>
      <c r="X113" s="18">
        <v>2.0384615384615383</v>
      </c>
      <c r="Y113" s="18">
        <v>1.054599298013245</v>
      </c>
      <c r="Z113" s="116">
        <v>5</v>
      </c>
      <c r="AA113" s="18"/>
      <c r="AB113" s="75"/>
    </row>
    <row r="114" spans="1:28">
      <c r="A114" s="6" t="s">
        <v>649</v>
      </c>
      <c r="B114" s="6" t="str">
        <f t="shared" si="5"/>
        <v>PPS Motors Pvt Ltd_KA1690</v>
      </c>
      <c r="C114" s="6" t="s">
        <v>63</v>
      </c>
      <c r="D114" s="5">
        <v>10339</v>
      </c>
      <c r="E114" s="5">
        <v>1690</v>
      </c>
      <c r="F114" s="3" t="s">
        <v>890</v>
      </c>
      <c r="G114" s="3" t="s">
        <v>348</v>
      </c>
      <c r="H114" s="3" t="s">
        <v>357</v>
      </c>
      <c r="I114" s="3" t="s">
        <v>469</v>
      </c>
      <c r="J114" s="9">
        <v>100</v>
      </c>
      <c r="K114" s="9">
        <v>0</v>
      </c>
      <c r="L114" s="9">
        <v>0</v>
      </c>
      <c r="M114" s="9">
        <v>50</v>
      </c>
      <c r="N114" s="9">
        <v>0</v>
      </c>
      <c r="O114" s="9">
        <v>80</v>
      </c>
      <c r="P114" s="9">
        <f t="shared" si="7"/>
        <v>0</v>
      </c>
      <c r="Q114" s="18">
        <v>0.17209302325581396</v>
      </c>
      <c r="R114" s="116">
        <v>4.7</v>
      </c>
      <c r="S114" s="19" t="str">
        <f t="shared" si="4"/>
        <v>10339 (17%)</v>
      </c>
      <c r="T114" s="9">
        <f t="shared" si="6"/>
        <v>0</v>
      </c>
      <c r="U114" s="20" t="s">
        <v>1043</v>
      </c>
      <c r="V114" s="126" t="s">
        <v>1044</v>
      </c>
      <c r="W114" s="20" t="s">
        <v>1041</v>
      </c>
      <c r="X114" s="18">
        <v>1.1611374407582939</v>
      </c>
      <c r="Y114" s="18">
        <v>0.97602602922077963</v>
      </c>
      <c r="Z114" s="116">
        <v>4.38</v>
      </c>
      <c r="AA114" s="18"/>
      <c r="AB114" s="75"/>
    </row>
    <row r="115" spans="1:28">
      <c r="A115" s="6" t="s">
        <v>649</v>
      </c>
      <c r="B115" s="6" t="str">
        <f t="shared" si="5"/>
        <v>PPS Motors Pvt Ltd_KA1690</v>
      </c>
      <c r="C115" s="6" t="s">
        <v>63</v>
      </c>
      <c r="D115" s="5">
        <v>10347</v>
      </c>
      <c r="E115" s="5">
        <v>1690</v>
      </c>
      <c r="F115" s="3" t="s">
        <v>890</v>
      </c>
      <c r="G115" s="3" t="s">
        <v>956</v>
      </c>
      <c r="H115" s="3" t="s">
        <v>357</v>
      </c>
      <c r="I115" s="3" t="s">
        <v>469</v>
      </c>
      <c r="J115" s="9">
        <v>100</v>
      </c>
      <c r="K115" s="9">
        <v>100</v>
      </c>
      <c r="L115" s="9">
        <v>0</v>
      </c>
      <c r="M115" s="9">
        <v>0</v>
      </c>
      <c r="N115" s="9">
        <v>80</v>
      </c>
      <c r="O115" s="9">
        <v>0</v>
      </c>
      <c r="P115" s="9">
        <f t="shared" si="7"/>
        <v>280</v>
      </c>
      <c r="Q115" s="18">
        <v>0.19069767441860466</v>
      </c>
      <c r="R115" s="116">
        <v>4.8</v>
      </c>
      <c r="S115" s="19" t="str">
        <f t="shared" si="4"/>
        <v>10347 (19%)</v>
      </c>
      <c r="T115" s="9">
        <f t="shared" si="6"/>
        <v>53</v>
      </c>
      <c r="U115" s="20" t="s">
        <v>1043</v>
      </c>
      <c r="V115" s="126" t="s">
        <v>1044</v>
      </c>
      <c r="W115" s="20" t="s">
        <v>1041</v>
      </c>
      <c r="X115" s="18">
        <v>1.1611374407582939</v>
      </c>
      <c r="Y115" s="18">
        <v>0.97602602922077963</v>
      </c>
      <c r="Z115" s="116">
        <v>4.68</v>
      </c>
      <c r="AA115" s="18"/>
      <c r="AB115" s="75"/>
    </row>
    <row r="116" spans="1:28">
      <c r="A116" s="6" t="s">
        <v>649</v>
      </c>
      <c r="B116" s="6" t="str">
        <f t="shared" si="5"/>
        <v>PPS Motors Pvt Ltd_KA1690</v>
      </c>
      <c r="C116" s="6" t="s">
        <v>63</v>
      </c>
      <c r="D116" s="6" t="s">
        <v>133</v>
      </c>
      <c r="E116" s="5">
        <v>1690</v>
      </c>
      <c r="F116" s="3" t="s">
        <v>890</v>
      </c>
      <c r="G116" s="3" t="s">
        <v>957</v>
      </c>
      <c r="H116" s="3" t="s">
        <v>958</v>
      </c>
      <c r="I116" s="3" t="s">
        <v>469</v>
      </c>
      <c r="J116" s="9">
        <v>100</v>
      </c>
      <c r="K116" s="9">
        <v>0</v>
      </c>
      <c r="L116" s="9">
        <v>0</v>
      </c>
      <c r="M116" s="9">
        <v>50</v>
      </c>
      <c r="N116" s="9">
        <v>100</v>
      </c>
      <c r="O116" s="9">
        <v>80</v>
      </c>
      <c r="P116" s="9">
        <f t="shared" si="7"/>
        <v>330</v>
      </c>
      <c r="Q116" s="18">
        <v>4.1860465116279069E-2</v>
      </c>
      <c r="R116" s="116">
        <v>4.8</v>
      </c>
      <c r="S116" s="19" t="str">
        <f t="shared" si="4"/>
        <v>2033901C (4%)</v>
      </c>
      <c r="T116" s="9">
        <f t="shared" si="6"/>
        <v>14</v>
      </c>
      <c r="U116" s="20" t="s">
        <v>1043</v>
      </c>
      <c r="V116" s="126" t="s">
        <v>1044</v>
      </c>
      <c r="W116" s="20" t="s">
        <v>1057</v>
      </c>
      <c r="X116" s="18">
        <v>1.1611374407582939</v>
      </c>
      <c r="Y116" s="18">
        <v>0.97602602922077963</v>
      </c>
      <c r="Z116" s="116">
        <v>5</v>
      </c>
      <c r="AA116" s="18"/>
      <c r="AB116" s="75"/>
    </row>
    <row r="117" spans="1:28">
      <c r="A117" s="6" t="s">
        <v>649</v>
      </c>
      <c r="B117" s="6" t="str">
        <f t="shared" si="5"/>
        <v>PPS Motors Pvt Ltd_KA1690</v>
      </c>
      <c r="C117" s="6" t="s">
        <v>63</v>
      </c>
      <c r="D117" s="6" t="s">
        <v>134</v>
      </c>
      <c r="E117" s="5">
        <v>1690</v>
      </c>
      <c r="F117" s="3" t="s">
        <v>890</v>
      </c>
      <c r="G117" s="3" t="s">
        <v>959</v>
      </c>
      <c r="H117" s="3" t="s">
        <v>960</v>
      </c>
      <c r="I117" s="3" t="s">
        <v>469</v>
      </c>
      <c r="J117" s="9">
        <v>100</v>
      </c>
      <c r="K117" s="9">
        <v>0</v>
      </c>
      <c r="L117" s="9">
        <v>0</v>
      </c>
      <c r="M117" s="9">
        <v>50</v>
      </c>
      <c r="N117" s="9">
        <v>100</v>
      </c>
      <c r="O117" s="9">
        <v>0</v>
      </c>
      <c r="P117" s="9">
        <f t="shared" si="7"/>
        <v>250</v>
      </c>
      <c r="Q117" s="18">
        <v>4.1860465116279069E-2</v>
      </c>
      <c r="R117" s="116">
        <v>4.9000000000000004</v>
      </c>
      <c r="S117" s="19" t="str">
        <f t="shared" si="4"/>
        <v>2033903C (4%)</v>
      </c>
      <c r="T117" s="9">
        <f t="shared" si="6"/>
        <v>10</v>
      </c>
      <c r="U117" s="20" t="s">
        <v>1043</v>
      </c>
      <c r="V117" s="126" t="s">
        <v>1044</v>
      </c>
      <c r="W117" s="20" t="s">
        <v>1057</v>
      </c>
      <c r="X117" s="18">
        <v>1.1611374407582939</v>
      </c>
      <c r="Y117" s="18">
        <v>0.97602602922077963</v>
      </c>
      <c r="Z117" s="116">
        <v>5</v>
      </c>
      <c r="AA117" s="18"/>
      <c r="AB117" s="75"/>
    </row>
    <row r="118" spans="1:28">
      <c r="A118" s="6" t="s">
        <v>649</v>
      </c>
      <c r="B118" s="6" t="str">
        <f t="shared" si="5"/>
        <v>PPS Motors Pvt Ltd_KA1690</v>
      </c>
      <c r="C118" s="6" t="s">
        <v>63</v>
      </c>
      <c r="D118" s="6" t="s">
        <v>135</v>
      </c>
      <c r="E118" s="5">
        <v>1690</v>
      </c>
      <c r="F118" s="3" t="s">
        <v>890</v>
      </c>
      <c r="G118" s="3" t="s">
        <v>961</v>
      </c>
      <c r="H118" s="3" t="s">
        <v>962</v>
      </c>
      <c r="I118" s="3" t="s">
        <v>469</v>
      </c>
      <c r="J118" s="9">
        <v>100</v>
      </c>
      <c r="K118" s="9">
        <v>0</v>
      </c>
      <c r="L118" s="9">
        <v>0</v>
      </c>
      <c r="M118" s="9">
        <v>50</v>
      </c>
      <c r="N118" s="9">
        <v>100</v>
      </c>
      <c r="O118" s="9">
        <v>80</v>
      </c>
      <c r="P118" s="9">
        <f t="shared" si="7"/>
        <v>330</v>
      </c>
      <c r="Q118" s="18">
        <v>3.7209302325581395E-2</v>
      </c>
      <c r="R118" s="116">
        <v>4.7</v>
      </c>
      <c r="S118" s="19" t="str">
        <f t="shared" si="4"/>
        <v>2033904C (4%)</v>
      </c>
      <c r="T118" s="9">
        <f t="shared" si="6"/>
        <v>12</v>
      </c>
      <c r="U118" s="20" t="s">
        <v>1043</v>
      </c>
      <c r="V118" s="126" t="s">
        <v>1044</v>
      </c>
      <c r="W118" s="20" t="s">
        <v>1057</v>
      </c>
      <c r="X118" s="18">
        <v>1.1611374407582939</v>
      </c>
      <c r="Y118" s="18">
        <v>0.97602602922077963</v>
      </c>
      <c r="Z118" s="116">
        <v>5</v>
      </c>
      <c r="AA118" s="18"/>
      <c r="AB118" s="75"/>
    </row>
    <row r="119" spans="1:28">
      <c r="A119" s="6" t="s">
        <v>649</v>
      </c>
      <c r="B119" s="6" t="str">
        <f t="shared" si="5"/>
        <v>PPS Motors Pvt Ltd_KA1690</v>
      </c>
      <c r="C119" s="6" t="s">
        <v>63</v>
      </c>
      <c r="D119" s="6" t="s">
        <v>136</v>
      </c>
      <c r="E119" s="5">
        <v>1690</v>
      </c>
      <c r="F119" s="3" t="s">
        <v>890</v>
      </c>
      <c r="G119" s="3" t="s">
        <v>963</v>
      </c>
      <c r="H119" s="3" t="s">
        <v>357</v>
      </c>
      <c r="I119" s="3" t="s">
        <v>469</v>
      </c>
      <c r="J119" s="9">
        <v>100</v>
      </c>
      <c r="K119" s="9">
        <v>100</v>
      </c>
      <c r="L119" s="9">
        <v>0</v>
      </c>
      <c r="M119" s="9">
        <v>50</v>
      </c>
      <c r="N119" s="9">
        <v>80</v>
      </c>
      <c r="O119" s="9">
        <v>0</v>
      </c>
      <c r="P119" s="9">
        <f t="shared" si="7"/>
        <v>330</v>
      </c>
      <c r="Q119" s="18">
        <v>0.19069767441860466</v>
      </c>
      <c r="R119" s="116">
        <v>4.8</v>
      </c>
      <c r="S119" s="19" t="str">
        <f t="shared" si="4"/>
        <v>2033902C (19%)</v>
      </c>
      <c r="T119" s="9">
        <f t="shared" si="6"/>
        <v>63</v>
      </c>
      <c r="U119" s="20" t="s">
        <v>1043</v>
      </c>
      <c r="V119" s="126" t="s">
        <v>1044</v>
      </c>
      <c r="W119" s="20" t="s">
        <v>1057</v>
      </c>
      <c r="X119" s="18">
        <v>1.1611374407582939</v>
      </c>
      <c r="Y119" s="18">
        <v>0.97602602922077963</v>
      </c>
      <c r="Z119" s="116">
        <v>4.79</v>
      </c>
      <c r="AA119" s="18"/>
      <c r="AB119" s="75"/>
    </row>
    <row r="120" spans="1:28">
      <c r="A120" s="6" t="s">
        <v>649</v>
      </c>
      <c r="B120" s="6" t="str">
        <f t="shared" si="5"/>
        <v>PPS Motors Pvt Ltd_KA1690</v>
      </c>
      <c r="C120" s="6" t="s">
        <v>63</v>
      </c>
      <c r="D120" s="6" t="s">
        <v>137</v>
      </c>
      <c r="E120" s="5">
        <v>1690</v>
      </c>
      <c r="F120" s="3" t="s">
        <v>890</v>
      </c>
      <c r="G120" s="3" t="s">
        <v>964</v>
      </c>
      <c r="H120" s="3" t="s">
        <v>357</v>
      </c>
      <c r="I120" s="3" t="s">
        <v>469</v>
      </c>
      <c r="J120" s="9">
        <v>100</v>
      </c>
      <c r="K120" s="9">
        <v>100</v>
      </c>
      <c r="L120" s="9">
        <v>0</v>
      </c>
      <c r="M120" s="9">
        <v>0</v>
      </c>
      <c r="N120" s="9">
        <v>100</v>
      </c>
      <c r="O120" s="9">
        <v>80</v>
      </c>
      <c r="P120" s="9">
        <f t="shared" si="7"/>
        <v>380</v>
      </c>
      <c r="Q120" s="18">
        <v>0.18604651162790697</v>
      </c>
      <c r="R120" s="116">
        <v>4.8</v>
      </c>
      <c r="S120" s="19" t="str">
        <f t="shared" si="4"/>
        <v>1034701A (19%)</v>
      </c>
      <c r="T120" s="9">
        <f t="shared" si="6"/>
        <v>71</v>
      </c>
      <c r="U120" s="20" t="s">
        <v>1043</v>
      </c>
      <c r="V120" s="126" t="s">
        <v>1045</v>
      </c>
      <c r="W120" s="20" t="s">
        <v>1055</v>
      </c>
      <c r="X120" s="18">
        <v>1.1611374407582939</v>
      </c>
      <c r="Y120" s="18" t="s">
        <v>1066</v>
      </c>
      <c r="Z120" s="116">
        <v>4.9000000000000004</v>
      </c>
      <c r="AA120" s="18"/>
      <c r="AB120" s="75"/>
    </row>
    <row r="121" spans="1:28">
      <c r="A121" s="6" t="s">
        <v>649</v>
      </c>
      <c r="B121" s="6" t="str">
        <f t="shared" ref="B121:B182" si="8">_xlfn.CONCAT(C121,E121)</f>
        <v>PPS Motors Pvt Ltd_KA1690</v>
      </c>
      <c r="C121" s="6" t="s">
        <v>63</v>
      </c>
      <c r="D121" s="6" t="s">
        <v>138</v>
      </c>
      <c r="E121" s="5">
        <v>1690</v>
      </c>
      <c r="F121" s="3" t="s">
        <v>890</v>
      </c>
      <c r="G121" s="3" t="s">
        <v>965</v>
      </c>
      <c r="H121" s="3" t="s">
        <v>357</v>
      </c>
      <c r="I121" s="3" t="s">
        <v>469</v>
      </c>
      <c r="J121" s="9">
        <v>100</v>
      </c>
      <c r="K121" s="9">
        <v>80</v>
      </c>
      <c r="L121" s="9">
        <v>0</v>
      </c>
      <c r="M121" s="9">
        <v>50</v>
      </c>
      <c r="N121" s="9">
        <v>100</v>
      </c>
      <c r="O121" s="9">
        <v>80</v>
      </c>
      <c r="P121" s="9">
        <f t="shared" si="7"/>
        <v>410</v>
      </c>
      <c r="Q121" s="18">
        <v>0.13953488372093023</v>
      </c>
      <c r="R121" s="116">
        <v>4.9000000000000004</v>
      </c>
      <c r="S121" s="19" t="str">
        <f t="shared" ref="S121:S182" si="9">_xlfn.CONCAT(D121," (",TEXT(Q121,"0%"),")")</f>
        <v>1033905A (14%)</v>
      </c>
      <c r="T121" s="9">
        <f t="shared" si="6"/>
        <v>57</v>
      </c>
      <c r="U121" s="20" t="s">
        <v>1043</v>
      </c>
      <c r="V121" s="126" t="s">
        <v>1045</v>
      </c>
      <c r="W121" s="20" t="s">
        <v>1055</v>
      </c>
      <c r="X121" s="18">
        <v>1.1611374407582939</v>
      </c>
      <c r="Y121" s="18" t="s">
        <v>1066</v>
      </c>
      <c r="Z121" s="116">
        <v>4.95</v>
      </c>
      <c r="AA121" s="18"/>
      <c r="AB121" s="75"/>
    </row>
    <row r="122" spans="1:28">
      <c r="A122" s="6" t="s">
        <v>650</v>
      </c>
      <c r="B122" s="6" t="str">
        <f t="shared" si="8"/>
        <v>PPS Motors Pvt Ltd_Kerala3027</v>
      </c>
      <c r="C122" s="6" t="s">
        <v>64</v>
      </c>
      <c r="D122" s="6">
        <v>10381</v>
      </c>
      <c r="E122" s="5">
        <v>3027</v>
      </c>
      <c r="F122" s="3" t="s">
        <v>890</v>
      </c>
      <c r="G122" s="3" t="s">
        <v>966</v>
      </c>
      <c r="H122" s="3" t="s">
        <v>967</v>
      </c>
      <c r="I122" s="3" t="s">
        <v>469</v>
      </c>
      <c r="J122" s="9">
        <v>100</v>
      </c>
      <c r="K122" s="9">
        <v>100</v>
      </c>
      <c r="L122" s="9">
        <v>50</v>
      </c>
      <c r="M122" s="9">
        <v>50</v>
      </c>
      <c r="N122" s="9">
        <v>80</v>
      </c>
      <c r="O122" s="9">
        <v>80</v>
      </c>
      <c r="P122" s="9">
        <f t="shared" si="7"/>
        <v>0</v>
      </c>
      <c r="Q122" s="18">
        <v>0.66176470588235292</v>
      </c>
      <c r="R122" s="116">
        <v>4.8</v>
      </c>
      <c r="S122" s="19" t="str">
        <f t="shared" si="9"/>
        <v>10381 (66%)</v>
      </c>
      <c r="T122" s="9">
        <f t="shared" si="6"/>
        <v>0</v>
      </c>
      <c r="U122" s="20" t="s">
        <v>1043</v>
      </c>
      <c r="V122" s="126" t="s">
        <v>1044</v>
      </c>
      <c r="W122" s="20" t="s">
        <v>1041</v>
      </c>
      <c r="X122" s="18">
        <v>1.2058823529411764</v>
      </c>
      <c r="Y122" s="18">
        <v>0.71795466769230731</v>
      </c>
      <c r="Z122" s="116">
        <v>4.78</v>
      </c>
      <c r="AA122" s="18"/>
      <c r="AB122" s="75"/>
    </row>
    <row r="123" spans="1:28">
      <c r="A123" s="6" t="s">
        <v>650</v>
      </c>
      <c r="B123" s="6" t="str">
        <f t="shared" si="8"/>
        <v>PPS Motors Pvt Ltd_Kerala3027</v>
      </c>
      <c r="C123" s="6" t="s">
        <v>64</v>
      </c>
      <c r="D123" s="6">
        <v>10382</v>
      </c>
      <c r="E123" s="5">
        <v>3027</v>
      </c>
      <c r="F123" s="3" t="s">
        <v>890</v>
      </c>
      <c r="G123" s="3" t="s">
        <v>968</v>
      </c>
      <c r="H123" s="3" t="s">
        <v>969</v>
      </c>
      <c r="I123" s="3" t="s">
        <v>469</v>
      </c>
      <c r="J123" s="9">
        <v>0</v>
      </c>
      <c r="K123" s="9">
        <v>80</v>
      </c>
      <c r="L123" s="9">
        <v>50</v>
      </c>
      <c r="M123" s="9">
        <v>0</v>
      </c>
      <c r="N123" s="9">
        <v>100</v>
      </c>
      <c r="O123" s="9">
        <v>100</v>
      </c>
      <c r="P123" s="9">
        <f t="shared" si="7"/>
        <v>0</v>
      </c>
      <c r="Q123" s="18">
        <v>0.33823529411764708</v>
      </c>
      <c r="R123" s="116">
        <v>4.7</v>
      </c>
      <c r="S123" s="19" t="str">
        <f t="shared" si="9"/>
        <v>10382 (34%)</v>
      </c>
      <c r="T123" s="9">
        <f t="shared" si="6"/>
        <v>0</v>
      </c>
      <c r="U123" s="20" t="s">
        <v>1043</v>
      </c>
      <c r="V123" s="126" t="s">
        <v>1044</v>
      </c>
      <c r="W123" s="20" t="s">
        <v>1040</v>
      </c>
      <c r="X123" s="18">
        <v>1.2058823529411764</v>
      </c>
      <c r="Y123" s="18">
        <v>0.71795466769230731</v>
      </c>
      <c r="Z123" s="116">
        <v>5</v>
      </c>
      <c r="AA123" s="18"/>
      <c r="AB123" s="75"/>
    </row>
    <row r="124" spans="1:28">
      <c r="A124" s="6" t="s">
        <v>651</v>
      </c>
      <c r="B124" s="6" t="str">
        <f t="shared" si="8"/>
        <v>PPS Motors Pvt Ltd_TL3654</v>
      </c>
      <c r="C124" s="6" t="s">
        <v>65</v>
      </c>
      <c r="D124" s="3">
        <v>10350</v>
      </c>
      <c r="E124" s="5">
        <v>3654</v>
      </c>
      <c r="F124" s="3" t="s">
        <v>890</v>
      </c>
      <c r="G124" s="3" t="s">
        <v>349</v>
      </c>
      <c r="H124" s="3" t="s">
        <v>334</v>
      </c>
      <c r="I124" s="3" t="s">
        <v>469</v>
      </c>
      <c r="J124" s="9">
        <v>100</v>
      </c>
      <c r="K124" s="9">
        <v>100</v>
      </c>
      <c r="L124" s="9">
        <v>50</v>
      </c>
      <c r="M124" s="9">
        <v>0</v>
      </c>
      <c r="N124" s="9">
        <v>100</v>
      </c>
      <c r="O124" s="9">
        <v>0</v>
      </c>
      <c r="P124" s="9">
        <f t="shared" si="7"/>
        <v>350</v>
      </c>
      <c r="Q124" s="18">
        <v>0.41666666666666669</v>
      </c>
      <c r="R124" s="116">
        <v>4.8</v>
      </c>
      <c r="S124" s="19" t="str">
        <f t="shared" si="9"/>
        <v>10350 (42%)</v>
      </c>
      <c r="T124" s="9">
        <f t="shared" si="6"/>
        <v>146</v>
      </c>
      <c r="U124" s="20" t="s">
        <v>1043</v>
      </c>
      <c r="V124" s="126" t="s">
        <v>1044</v>
      </c>
      <c r="W124" s="20" t="s">
        <v>1041</v>
      </c>
      <c r="X124" s="18">
        <v>1.1888111888111887</v>
      </c>
      <c r="Y124" s="18">
        <v>1.3240997902713334</v>
      </c>
      <c r="Z124" s="116">
        <v>4.91</v>
      </c>
      <c r="AA124" s="18"/>
      <c r="AB124" s="75"/>
    </row>
    <row r="125" spans="1:28">
      <c r="A125" s="6" t="s">
        <v>651</v>
      </c>
      <c r="B125" s="6" t="str">
        <f t="shared" si="8"/>
        <v>PPS Motors Pvt Ltd_TL3654</v>
      </c>
      <c r="C125" s="6" t="s">
        <v>65</v>
      </c>
      <c r="D125" s="6" t="s">
        <v>139</v>
      </c>
      <c r="E125" s="5">
        <v>3654</v>
      </c>
      <c r="F125" s="3" t="s">
        <v>890</v>
      </c>
      <c r="G125" s="3" t="s">
        <v>970</v>
      </c>
      <c r="H125" s="3" t="s">
        <v>334</v>
      </c>
      <c r="I125" s="3" t="s">
        <v>469</v>
      </c>
      <c r="J125" s="9">
        <v>100</v>
      </c>
      <c r="K125" s="9">
        <v>100</v>
      </c>
      <c r="L125" s="9">
        <v>50</v>
      </c>
      <c r="M125" s="9">
        <v>0</v>
      </c>
      <c r="N125" s="9">
        <v>80</v>
      </c>
      <c r="O125" s="9">
        <v>0</v>
      </c>
      <c r="P125" s="9">
        <f t="shared" si="7"/>
        <v>330</v>
      </c>
      <c r="Q125" s="18">
        <v>0.2361111111111111</v>
      </c>
      <c r="R125" s="116">
        <v>4.8</v>
      </c>
      <c r="S125" s="19" t="str">
        <f t="shared" si="9"/>
        <v>1035001A (24%)</v>
      </c>
      <c r="T125" s="9">
        <f t="shared" si="6"/>
        <v>78</v>
      </c>
      <c r="U125" s="20" t="s">
        <v>1043</v>
      </c>
      <c r="V125" s="126" t="s">
        <v>1045</v>
      </c>
      <c r="W125" s="20" t="s">
        <v>1055</v>
      </c>
      <c r="X125" s="18">
        <v>1.1888111888111887</v>
      </c>
      <c r="Y125" s="18" t="s">
        <v>1066</v>
      </c>
      <c r="Z125" s="116">
        <v>4.76</v>
      </c>
      <c r="AA125" s="18"/>
      <c r="AB125" s="75"/>
    </row>
    <row r="126" spans="1:28">
      <c r="A126" s="6" t="s">
        <v>651</v>
      </c>
      <c r="B126" s="6" t="str">
        <f t="shared" si="8"/>
        <v>PPS Motors Pvt Ltd_TL3654</v>
      </c>
      <c r="C126" s="6" t="s">
        <v>65</v>
      </c>
      <c r="D126" s="6" t="s">
        <v>140</v>
      </c>
      <c r="E126" s="5">
        <v>3654</v>
      </c>
      <c r="F126" s="3" t="s">
        <v>890</v>
      </c>
      <c r="G126" s="3" t="s">
        <v>350</v>
      </c>
      <c r="H126" s="3" t="s">
        <v>971</v>
      </c>
      <c r="I126" s="3" t="s">
        <v>469</v>
      </c>
      <c r="J126" s="9">
        <v>100</v>
      </c>
      <c r="K126" s="9">
        <v>100</v>
      </c>
      <c r="L126" s="9">
        <v>50</v>
      </c>
      <c r="M126" s="9">
        <v>0</v>
      </c>
      <c r="N126" s="9">
        <v>100</v>
      </c>
      <c r="O126" s="9">
        <v>80</v>
      </c>
      <c r="P126" s="9">
        <f t="shared" si="7"/>
        <v>430</v>
      </c>
      <c r="Q126" s="18">
        <v>6.9444444444444448E-2</v>
      </c>
      <c r="R126" s="116">
        <v>5</v>
      </c>
      <c r="S126" s="19" t="str">
        <f t="shared" si="9"/>
        <v>2035003C (7%)</v>
      </c>
      <c r="T126" s="9">
        <f t="shared" si="6"/>
        <v>30</v>
      </c>
      <c r="U126" s="20" t="s">
        <v>1043</v>
      </c>
      <c r="V126" s="126" t="s">
        <v>1044</v>
      </c>
      <c r="W126" s="20" t="s">
        <v>1057</v>
      </c>
      <c r="X126" s="18">
        <v>1.1888111888111887</v>
      </c>
      <c r="Y126" s="18">
        <v>1.3240997902713334</v>
      </c>
      <c r="Z126" s="116">
        <v>5</v>
      </c>
      <c r="AA126" s="18"/>
      <c r="AB126" s="75"/>
    </row>
    <row r="127" spans="1:28">
      <c r="A127" s="6" t="s">
        <v>651</v>
      </c>
      <c r="B127" s="6" t="str">
        <f t="shared" si="8"/>
        <v>PPS Motors Pvt Ltd_TL3654</v>
      </c>
      <c r="C127" s="6" t="s">
        <v>65</v>
      </c>
      <c r="D127" s="6" t="s">
        <v>141</v>
      </c>
      <c r="E127" s="5">
        <v>3654</v>
      </c>
      <c r="F127" s="3" t="s">
        <v>890</v>
      </c>
      <c r="G127" s="3" t="s">
        <v>972</v>
      </c>
      <c r="H127" s="3" t="s">
        <v>334</v>
      </c>
      <c r="I127" s="3" t="s">
        <v>469</v>
      </c>
      <c r="J127" s="9">
        <v>100</v>
      </c>
      <c r="K127" s="9">
        <v>100</v>
      </c>
      <c r="L127" s="9">
        <v>50</v>
      </c>
      <c r="M127" s="9">
        <v>0</v>
      </c>
      <c r="N127" s="9">
        <v>100</v>
      </c>
      <c r="O127" s="9">
        <v>0</v>
      </c>
      <c r="P127" s="9">
        <f t="shared" si="7"/>
        <v>350</v>
      </c>
      <c r="Q127" s="18">
        <v>0.1388888888888889</v>
      </c>
      <c r="R127" s="116">
        <v>4.9000000000000004</v>
      </c>
      <c r="S127" s="19" t="str">
        <f t="shared" si="9"/>
        <v>1035004A (14%)</v>
      </c>
      <c r="T127" s="9">
        <f t="shared" ref="T127:T190" si="10">ROUND((P127*Q127),0)</f>
        <v>49</v>
      </c>
      <c r="U127" s="20" t="s">
        <v>1043</v>
      </c>
      <c r="V127" s="126" t="s">
        <v>1045</v>
      </c>
      <c r="W127" s="20" t="s">
        <v>1055</v>
      </c>
      <c r="X127" s="18">
        <v>1.1888111888111887</v>
      </c>
      <c r="Y127" s="18" t="s">
        <v>1066</v>
      </c>
      <c r="Z127" s="116">
        <v>5</v>
      </c>
      <c r="AA127" s="18"/>
      <c r="AB127" s="75"/>
    </row>
    <row r="128" spans="1:28">
      <c r="A128" s="6" t="s">
        <v>651</v>
      </c>
      <c r="B128" s="6" t="str">
        <f t="shared" si="8"/>
        <v>PPS Motors Pvt Ltd_TL3654</v>
      </c>
      <c r="C128" s="6" t="s">
        <v>65</v>
      </c>
      <c r="D128" s="6" t="s">
        <v>142</v>
      </c>
      <c r="E128" s="5">
        <v>3654</v>
      </c>
      <c r="F128" s="3" t="s">
        <v>890</v>
      </c>
      <c r="G128" s="3" t="s">
        <v>973</v>
      </c>
      <c r="H128" s="3" t="s">
        <v>334</v>
      </c>
      <c r="I128" s="3" t="s">
        <v>469</v>
      </c>
      <c r="J128" s="9">
        <v>100</v>
      </c>
      <c r="K128" s="9">
        <v>80</v>
      </c>
      <c r="L128" s="9">
        <v>50</v>
      </c>
      <c r="M128" s="9">
        <v>0</v>
      </c>
      <c r="N128" s="9">
        <v>0</v>
      </c>
      <c r="O128" s="9">
        <v>0</v>
      </c>
      <c r="P128" s="9">
        <f t="shared" si="7"/>
        <v>0</v>
      </c>
      <c r="Q128" s="18">
        <v>0.1388888888888889</v>
      </c>
      <c r="R128" s="116">
        <v>4.8</v>
      </c>
      <c r="S128" s="19" t="str">
        <f t="shared" si="9"/>
        <v>1035005A (14%)</v>
      </c>
      <c r="T128" s="9">
        <f t="shared" si="10"/>
        <v>0</v>
      </c>
      <c r="U128" s="20" t="s">
        <v>1043</v>
      </c>
      <c r="V128" s="126" t="s">
        <v>1045</v>
      </c>
      <c r="W128" s="20" t="s">
        <v>1055</v>
      </c>
      <c r="X128" s="18">
        <v>1.1888111888111887</v>
      </c>
      <c r="Y128" s="18" t="s">
        <v>1066</v>
      </c>
      <c r="Z128" s="116">
        <v>4.5599999999999996</v>
      </c>
      <c r="AA128" s="18"/>
      <c r="AB128" s="75"/>
    </row>
    <row r="129" spans="1:28">
      <c r="A129" s="6" t="s">
        <v>652</v>
      </c>
      <c r="B129" s="6" t="str">
        <f t="shared" si="8"/>
        <v>Prem Garages Pvt. Ltd2861</v>
      </c>
      <c r="C129" s="6" t="s">
        <v>35</v>
      </c>
      <c r="D129" s="5">
        <v>10336</v>
      </c>
      <c r="E129" s="5">
        <v>2861</v>
      </c>
      <c r="F129" s="3" t="s">
        <v>890</v>
      </c>
      <c r="G129" s="3" t="s">
        <v>351</v>
      </c>
      <c r="H129" s="3" t="s">
        <v>351</v>
      </c>
      <c r="I129" s="3" t="s">
        <v>463</v>
      </c>
      <c r="J129" s="9">
        <v>80</v>
      </c>
      <c r="K129" s="9">
        <v>0</v>
      </c>
      <c r="L129" s="9">
        <v>0</v>
      </c>
      <c r="M129" s="9">
        <v>50</v>
      </c>
      <c r="N129" s="9">
        <v>100</v>
      </c>
      <c r="O129" s="9">
        <v>80</v>
      </c>
      <c r="P129" s="9">
        <f t="shared" si="7"/>
        <v>310</v>
      </c>
      <c r="Q129" s="18">
        <v>1</v>
      </c>
      <c r="R129" s="116">
        <v>4.7</v>
      </c>
      <c r="S129" s="19" t="str">
        <f t="shared" si="9"/>
        <v>10336 (100%)</v>
      </c>
      <c r="T129" s="9">
        <f t="shared" si="10"/>
        <v>310</v>
      </c>
      <c r="U129" s="20" t="s">
        <v>1043</v>
      </c>
      <c r="V129" s="126" t="s">
        <v>1044</v>
      </c>
      <c r="W129" s="20" t="s">
        <v>1040</v>
      </c>
      <c r="X129" s="18">
        <v>0.97435897435897434</v>
      </c>
      <c r="Y129" s="18">
        <v>1.5884073440366977</v>
      </c>
      <c r="Z129" s="116">
        <v>5</v>
      </c>
      <c r="AA129" s="18"/>
      <c r="AB129" s="75"/>
    </row>
    <row r="130" spans="1:28">
      <c r="A130" s="6" t="s">
        <v>653</v>
      </c>
      <c r="B130" s="6" t="str">
        <f t="shared" si="8"/>
        <v>Presidency Cars Pvt. Ltd.2105</v>
      </c>
      <c r="C130" s="6" t="s">
        <v>36</v>
      </c>
      <c r="D130" s="5">
        <v>10349</v>
      </c>
      <c r="E130" s="5">
        <v>2105</v>
      </c>
      <c r="F130" s="3" t="s">
        <v>889</v>
      </c>
      <c r="G130" s="3" t="s">
        <v>974</v>
      </c>
      <c r="H130" s="3" t="s">
        <v>352</v>
      </c>
      <c r="I130" s="3" t="s">
        <v>458</v>
      </c>
      <c r="J130" s="9">
        <v>80</v>
      </c>
      <c r="K130" s="9">
        <v>100</v>
      </c>
      <c r="L130" s="9">
        <v>50</v>
      </c>
      <c r="M130" s="9">
        <v>50</v>
      </c>
      <c r="N130" s="9">
        <v>80</v>
      </c>
      <c r="O130" s="9">
        <v>80</v>
      </c>
      <c r="P130" s="9">
        <f t="shared" si="7"/>
        <v>0</v>
      </c>
      <c r="Q130" s="18">
        <v>0.63380281690140849</v>
      </c>
      <c r="R130" s="116">
        <v>4.8</v>
      </c>
      <c r="S130" s="19" t="str">
        <f t="shared" si="9"/>
        <v>10349 (63%)</v>
      </c>
      <c r="T130" s="9">
        <f t="shared" si="10"/>
        <v>0</v>
      </c>
      <c r="U130" s="20" t="s">
        <v>1043</v>
      </c>
      <c r="V130" s="126" t="s">
        <v>1044</v>
      </c>
      <c r="W130" s="20" t="s">
        <v>1040</v>
      </c>
      <c r="X130" s="18">
        <v>1.3043478260869565</v>
      </c>
      <c r="Y130" s="18">
        <v>0.7368295107494558</v>
      </c>
      <c r="Z130" s="116">
        <v>4.74</v>
      </c>
      <c r="AA130" s="18"/>
      <c r="AB130" s="75"/>
    </row>
    <row r="131" spans="1:28">
      <c r="A131" s="6" t="s">
        <v>653</v>
      </c>
      <c r="B131" s="6" t="str">
        <f t="shared" si="8"/>
        <v>Presidency Cars Pvt. Ltd.2105</v>
      </c>
      <c r="C131" s="6" t="s">
        <v>36</v>
      </c>
      <c r="D131" s="5" t="s">
        <v>143</v>
      </c>
      <c r="E131" s="5">
        <v>2105</v>
      </c>
      <c r="F131" s="3" t="s">
        <v>889</v>
      </c>
      <c r="G131" s="3" t="s">
        <v>975</v>
      </c>
      <c r="H131" s="3" t="s">
        <v>353</v>
      </c>
      <c r="I131" s="3" t="s">
        <v>458</v>
      </c>
      <c r="J131" s="9">
        <v>100</v>
      </c>
      <c r="K131" s="9">
        <v>100</v>
      </c>
      <c r="L131" s="9">
        <v>50</v>
      </c>
      <c r="M131" s="9">
        <v>50</v>
      </c>
      <c r="N131" s="9">
        <v>100</v>
      </c>
      <c r="O131" s="9">
        <v>80</v>
      </c>
      <c r="P131" s="9">
        <f t="shared" si="7"/>
        <v>0</v>
      </c>
      <c r="Q131" s="18">
        <v>0.18309859154929578</v>
      </c>
      <c r="R131" s="116">
        <v>4.7</v>
      </c>
      <c r="S131" s="19" t="str">
        <f t="shared" si="9"/>
        <v>1034901C (18%)</v>
      </c>
      <c r="T131" s="9">
        <f t="shared" si="10"/>
        <v>0</v>
      </c>
      <c r="U131" s="20" t="s">
        <v>1043</v>
      </c>
      <c r="V131" s="126" t="s">
        <v>1044</v>
      </c>
      <c r="W131" s="20" t="s">
        <v>1057</v>
      </c>
      <c r="X131" s="18">
        <v>1.3043478260869565</v>
      </c>
      <c r="Y131" s="18">
        <v>0.7368295107494558</v>
      </c>
      <c r="Z131" s="116">
        <v>4.8899999999999997</v>
      </c>
      <c r="AA131" s="18"/>
      <c r="AB131" s="75"/>
    </row>
    <row r="132" spans="1:28">
      <c r="A132" s="6" t="s">
        <v>653</v>
      </c>
      <c r="B132" s="6" t="str">
        <f t="shared" si="8"/>
        <v>Presidency Cars Pvt. Ltd.2105</v>
      </c>
      <c r="C132" s="6" t="s">
        <v>36</v>
      </c>
      <c r="D132" s="5" t="s">
        <v>144</v>
      </c>
      <c r="E132" s="5">
        <v>2105</v>
      </c>
      <c r="F132" s="3" t="s">
        <v>889</v>
      </c>
      <c r="G132" s="3" t="s">
        <v>354</v>
      </c>
      <c r="H132" s="3" t="s">
        <v>355</v>
      </c>
      <c r="I132" s="3" t="s">
        <v>458</v>
      </c>
      <c r="J132" s="9">
        <v>100</v>
      </c>
      <c r="K132" s="9">
        <v>100</v>
      </c>
      <c r="L132" s="9">
        <v>50</v>
      </c>
      <c r="M132" s="9">
        <v>50</v>
      </c>
      <c r="N132" s="9">
        <v>100</v>
      </c>
      <c r="O132" s="9">
        <v>100</v>
      </c>
      <c r="P132" s="9">
        <f t="shared" ref="P132:P195" si="11">IF(AND(V132="3S",OR(X132&lt;0.895,Z132&lt;4.595,R132&lt;4.695,Y132&lt;0.895)),0,IF(AND(V132="1S",OR(X132&lt;0.895,Z132&lt;4.595,R132&lt;4.695)),0,SUM(J132:O132)))</f>
        <v>0</v>
      </c>
      <c r="Q132" s="18">
        <v>0.18309859154929578</v>
      </c>
      <c r="R132" s="116">
        <v>4.9000000000000004</v>
      </c>
      <c r="S132" s="19" t="str">
        <f t="shared" si="9"/>
        <v>1034902C (18%)</v>
      </c>
      <c r="T132" s="9">
        <f t="shared" si="10"/>
        <v>0</v>
      </c>
      <c r="U132" s="20" t="s">
        <v>1043</v>
      </c>
      <c r="V132" s="126" t="s">
        <v>1044</v>
      </c>
      <c r="W132" s="20" t="s">
        <v>1057</v>
      </c>
      <c r="X132" s="18">
        <v>1.3043478260869565</v>
      </c>
      <c r="Y132" s="18">
        <v>0.7368295107494558</v>
      </c>
      <c r="Z132" s="116">
        <v>5</v>
      </c>
      <c r="AA132" s="18"/>
      <c r="AB132" s="75"/>
    </row>
    <row r="133" spans="1:28">
      <c r="A133" s="6" t="s">
        <v>654</v>
      </c>
      <c r="B133" s="6" t="str">
        <f t="shared" si="8"/>
        <v>Raja Ganesh Motors2044</v>
      </c>
      <c r="C133" s="6" t="s">
        <v>37</v>
      </c>
      <c r="D133" s="3">
        <v>10351</v>
      </c>
      <c r="E133" s="5">
        <v>2044</v>
      </c>
      <c r="F133" s="3" t="s">
        <v>890</v>
      </c>
      <c r="G133" s="3" t="s">
        <v>356</v>
      </c>
      <c r="H133" s="3" t="s">
        <v>357</v>
      </c>
      <c r="I133" s="3" t="s">
        <v>459</v>
      </c>
      <c r="J133" s="9">
        <v>100</v>
      </c>
      <c r="K133" s="9">
        <v>100</v>
      </c>
      <c r="L133" s="9">
        <v>40</v>
      </c>
      <c r="M133" s="9">
        <v>0</v>
      </c>
      <c r="N133" s="9">
        <v>80</v>
      </c>
      <c r="O133" s="9">
        <v>0</v>
      </c>
      <c r="P133" s="9">
        <f t="shared" si="11"/>
        <v>0</v>
      </c>
      <c r="Q133" s="18">
        <v>0.55932203389830504</v>
      </c>
      <c r="R133" s="116">
        <v>4.5999999999999996</v>
      </c>
      <c r="S133" s="19" t="str">
        <f t="shared" si="9"/>
        <v>10351 (56%)</v>
      </c>
      <c r="T133" s="9">
        <f t="shared" si="10"/>
        <v>0</v>
      </c>
      <c r="U133" s="20" t="s">
        <v>1043</v>
      </c>
      <c r="V133" s="126" t="s">
        <v>1044</v>
      </c>
      <c r="W133" s="20" t="s">
        <v>1041</v>
      </c>
      <c r="X133" s="18">
        <v>1.3620689655172413</v>
      </c>
      <c r="Y133" s="18">
        <v>0.98309432222222348</v>
      </c>
      <c r="Z133" s="116">
        <v>4.71</v>
      </c>
      <c r="AA133" s="18"/>
      <c r="AB133" s="75"/>
    </row>
    <row r="134" spans="1:28">
      <c r="A134" s="6" t="s">
        <v>654</v>
      </c>
      <c r="B134" s="6" t="str">
        <f t="shared" si="8"/>
        <v>Raja Ganesh Motors2044</v>
      </c>
      <c r="C134" s="6" t="s">
        <v>37</v>
      </c>
      <c r="D134" s="5" t="s">
        <v>145</v>
      </c>
      <c r="E134" s="5">
        <v>2044</v>
      </c>
      <c r="F134" s="3" t="s">
        <v>890</v>
      </c>
      <c r="G134" s="3" t="s">
        <v>358</v>
      </c>
      <c r="H134" s="3" t="s">
        <v>357</v>
      </c>
      <c r="I134" s="3" t="s">
        <v>459</v>
      </c>
      <c r="J134" s="9">
        <v>100</v>
      </c>
      <c r="K134" s="9">
        <v>0</v>
      </c>
      <c r="L134" s="9">
        <v>40</v>
      </c>
      <c r="M134" s="9">
        <v>0</v>
      </c>
      <c r="N134" s="9">
        <v>0</v>
      </c>
      <c r="O134" s="9">
        <v>0</v>
      </c>
      <c r="P134" s="9">
        <f t="shared" si="11"/>
        <v>0</v>
      </c>
      <c r="Q134" s="18">
        <v>0.19491525423728814</v>
      </c>
      <c r="R134" s="116">
        <v>4.8</v>
      </c>
      <c r="S134" s="19" t="str">
        <f t="shared" si="9"/>
        <v>1035102A (19%)</v>
      </c>
      <c r="T134" s="9">
        <f t="shared" si="10"/>
        <v>0</v>
      </c>
      <c r="U134" s="20" t="s">
        <v>1043</v>
      </c>
      <c r="V134" s="126" t="s">
        <v>1045</v>
      </c>
      <c r="W134" s="20" t="s">
        <v>1055</v>
      </c>
      <c r="X134" s="18">
        <v>1.3620689655172413</v>
      </c>
      <c r="Y134" s="18" t="s">
        <v>1066</v>
      </c>
      <c r="Z134" s="116">
        <v>4.5599999999999996</v>
      </c>
      <c r="AA134" s="18"/>
      <c r="AB134" s="75"/>
    </row>
    <row r="135" spans="1:28">
      <c r="A135" s="6" t="s">
        <v>654</v>
      </c>
      <c r="B135" s="6" t="str">
        <f t="shared" si="8"/>
        <v>Raja Ganesh Motors2044</v>
      </c>
      <c r="C135" s="6" t="s">
        <v>37</v>
      </c>
      <c r="D135" s="6" t="s">
        <v>146</v>
      </c>
      <c r="E135" s="5">
        <v>2044</v>
      </c>
      <c r="F135" s="3" t="s">
        <v>890</v>
      </c>
      <c r="G135" s="3" t="s">
        <v>359</v>
      </c>
      <c r="H135" s="3" t="s">
        <v>357</v>
      </c>
      <c r="I135" s="3" t="s">
        <v>459</v>
      </c>
      <c r="J135" s="9">
        <v>100</v>
      </c>
      <c r="K135" s="9">
        <v>80</v>
      </c>
      <c r="L135" s="9">
        <v>40</v>
      </c>
      <c r="M135" s="9">
        <v>0</v>
      </c>
      <c r="N135" s="9">
        <v>0</v>
      </c>
      <c r="O135" s="9">
        <v>0</v>
      </c>
      <c r="P135" s="9">
        <f t="shared" si="11"/>
        <v>0</v>
      </c>
      <c r="Q135" s="18">
        <v>0.24576271186440679</v>
      </c>
      <c r="R135" s="116">
        <v>4.8</v>
      </c>
      <c r="S135" s="19" t="str">
        <f t="shared" si="9"/>
        <v>1035101A (25%)</v>
      </c>
      <c r="T135" s="9">
        <f t="shared" si="10"/>
        <v>0</v>
      </c>
      <c r="U135" s="20" t="s">
        <v>1043</v>
      </c>
      <c r="V135" s="126" t="s">
        <v>1045</v>
      </c>
      <c r="W135" s="20" t="s">
        <v>1055</v>
      </c>
      <c r="X135" s="18">
        <v>1.3620689655172413</v>
      </c>
      <c r="Y135" s="18" t="s">
        <v>1066</v>
      </c>
      <c r="Z135" s="116">
        <v>4.57</v>
      </c>
      <c r="AA135" s="18"/>
      <c r="AB135" s="75"/>
    </row>
    <row r="136" spans="1:28">
      <c r="A136" s="6" t="s">
        <v>655</v>
      </c>
      <c r="B136" s="6" t="str">
        <f t="shared" si="8"/>
        <v>Raja Motors Corporation4183</v>
      </c>
      <c r="C136" s="6" t="s">
        <v>38</v>
      </c>
      <c r="D136" s="118">
        <v>10390</v>
      </c>
      <c r="E136" s="5">
        <v>4183</v>
      </c>
      <c r="F136" s="3" t="s">
        <v>890</v>
      </c>
      <c r="G136" s="3" t="s">
        <v>360</v>
      </c>
      <c r="H136" s="3" t="s">
        <v>361</v>
      </c>
      <c r="I136" s="3" t="s">
        <v>465</v>
      </c>
      <c r="J136" s="9">
        <v>80</v>
      </c>
      <c r="K136" s="9">
        <v>100</v>
      </c>
      <c r="L136" s="9">
        <v>50</v>
      </c>
      <c r="M136" s="9">
        <v>0</v>
      </c>
      <c r="N136" s="9">
        <v>80</v>
      </c>
      <c r="O136" s="9">
        <v>0</v>
      </c>
      <c r="P136" s="9">
        <f t="shared" si="11"/>
        <v>0</v>
      </c>
      <c r="Q136" s="18">
        <v>0.54347826086956519</v>
      </c>
      <c r="R136" s="116">
        <v>4.9000000000000004</v>
      </c>
      <c r="S136" s="19" t="str">
        <f t="shared" si="9"/>
        <v>10390 (54%)</v>
      </c>
      <c r="T136" s="9">
        <f t="shared" si="10"/>
        <v>0</v>
      </c>
      <c r="U136" s="20" t="s">
        <v>1043</v>
      </c>
      <c r="V136" s="126" t="s">
        <v>1044</v>
      </c>
      <c r="W136" s="20" t="s">
        <v>1040</v>
      </c>
      <c r="X136" s="18">
        <v>1.1764705882352942</v>
      </c>
      <c r="Y136" s="18">
        <v>0.7981822573529409</v>
      </c>
      <c r="Z136" s="116">
        <v>4.5999999999999996</v>
      </c>
      <c r="AA136" s="18"/>
      <c r="AB136" s="75"/>
    </row>
    <row r="137" spans="1:28">
      <c r="A137" s="6" t="s">
        <v>655</v>
      </c>
      <c r="B137" s="6" t="str">
        <f t="shared" si="8"/>
        <v>Raja Motors Corporation4183</v>
      </c>
      <c r="C137" s="6" t="s">
        <v>38</v>
      </c>
      <c r="D137" s="118" t="s">
        <v>147</v>
      </c>
      <c r="E137" s="5">
        <v>4183</v>
      </c>
      <c r="F137" s="3" t="s">
        <v>890</v>
      </c>
      <c r="G137" s="3" t="s">
        <v>362</v>
      </c>
      <c r="H137" s="3" t="s">
        <v>363</v>
      </c>
      <c r="I137" s="3" t="s">
        <v>465</v>
      </c>
      <c r="J137" s="9">
        <v>80</v>
      </c>
      <c r="K137" s="9">
        <v>100</v>
      </c>
      <c r="L137" s="9">
        <v>50</v>
      </c>
      <c r="M137" s="9">
        <v>0</v>
      </c>
      <c r="N137" s="9">
        <v>80</v>
      </c>
      <c r="O137" s="9">
        <v>0</v>
      </c>
      <c r="P137" s="9">
        <f t="shared" si="11"/>
        <v>310</v>
      </c>
      <c r="Q137" s="18">
        <v>0.2391304347826087</v>
      </c>
      <c r="R137" s="116">
        <v>4.9000000000000004</v>
      </c>
      <c r="S137" s="19" t="str">
        <f t="shared" si="9"/>
        <v>1039001C (24%)</v>
      </c>
      <c r="T137" s="9">
        <f t="shared" si="10"/>
        <v>74</v>
      </c>
      <c r="U137" s="20" t="s">
        <v>1043</v>
      </c>
      <c r="V137" s="126" t="s">
        <v>1045</v>
      </c>
      <c r="W137" s="20" t="s">
        <v>1055</v>
      </c>
      <c r="X137" s="18">
        <v>1.1764705882352942</v>
      </c>
      <c r="Y137" s="18" t="s">
        <v>1066</v>
      </c>
      <c r="Z137" s="116">
        <v>4.79</v>
      </c>
      <c r="AA137" s="18"/>
      <c r="AB137" s="75"/>
    </row>
    <row r="138" spans="1:28">
      <c r="A138" s="6" t="s">
        <v>656</v>
      </c>
      <c r="B138" s="6" t="str">
        <f t="shared" si="8"/>
        <v>S7 Cars India Pvt. Ltd1204</v>
      </c>
      <c r="C138" s="6" t="s">
        <v>39</v>
      </c>
      <c r="D138" s="6" t="s">
        <v>781</v>
      </c>
      <c r="E138" s="5">
        <v>1204</v>
      </c>
      <c r="F138" s="3" t="s">
        <v>890</v>
      </c>
      <c r="G138" s="3" t="s">
        <v>364</v>
      </c>
      <c r="H138" s="3" t="s">
        <v>365</v>
      </c>
      <c r="I138" s="3" t="s">
        <v>462</v>
      </c>
      <c r="J138" s="9">
        <v>0</v>
      </c>
      <c r="K138" s="9">
        <v>80</v>
      </c>
      <c r="L138" s="9">
        <v>40</v>
      </c>
      <c r="M138" s="9">
        <v>0</v>
      </c>
      <c r="N138" s="9">
        <v>80</v>
      </c>
      <c r="O138" s="9">
        <v>0</v>
      </c>
      <c r="P138" s="9">
        <f t="shared" si="11"/>
        <v>200</v>
      </c>
      <c r="Q138" s="18">
        <v>0.12698412698412698</v>
      </c>
      <c r="R138" s="116">
        <v>4.8</v>
      </c>
      <c r="S138" s="19" t="str">
        <f t="shared" si="9"/>
        <v>1014103C (13%)</v>
      </c>
      <c r="T138" s="9">
        <f t="shared" si="10"/>
        <v>25</v>
      </c>
      <c r="U138" s="20" t="s">
        <v>1043</v>
      </c>
      <c r="V138" s="126" t="s">
        <v>1045</v>
      </c>
      <c r="W138" s="20" t="s">
        <v>1055</v>
      </c>
      <c r="X138" s="18">
        <v>1.2068965517241379</v>
      </c>
      <c r="Y138" s="18" t="s">
        <v>1066</v>
      </c>
      <c r="Z138" s="116">
        <v>4.82</v>
      </c>
      <c r="AA138" s="18"/>
      <c r="AB138" s="75"/>
    </row>
    <row r="139" spans="1:28">
      <c r="A139" s="6" t="s">
        <v>656</v>
      </c>
      <c r="B139" s="6" t="str">
        <f t="shared" si="8"/>
        <v>S7 Cars India Pvt. Ltd1204</v>
      </c>
      <c r="C139" s="6" t="s">
        <v>39</v>
      </c>
      <c r="D139" s="6" t="s">
        <v>148</v>
      </c>
      <c r="E139" s="5">
        <v>1204</v>
      </c>
      <c r="F139" s="3" t="s">
        <v>890</v>
      </c>
      <c r="G139" s="3" t="s">
        <v>366</v>
      </c>
      <c r="H139" s="3" t="s">
        <v>367</v>
      </c>
      <c r="I139" s="3" t="s">
        <v>462</v>
      </c>
      <c r="J139" s="9">
        <v>80</v>
      </c>
      <c r="K139" s="9">
        <v>100</v>
      </c>
      <c r="L139" s="9">
        <v>40</v>
      </c>
      <c r="M139" s="9">
        <v>0</v>
      </c>
      <c r="N139" s="9">
        <v>100</v>
      </c>
      <c r="O139" s="9">
        <v>80</v>
      </c>
      <c r="P139" s="9">
        <f t="shared" si="11"/>
        <v>0</v>
      </c>
      <c r="Q139" s="18">
        <v>0.17460317460317459</v>
      </c>
      <c r="R139" s="116">
        <v>4.7</v>
      </c>
      <c r="S139" s="19" t="str">
        <f t="shared" si="9"/>
        <v>1014101C (17%)</v>
      </c>
      <c r="T139" s="9">
        <f t="shared" si="10"/>
        <v>0</v>
      </c>
      <c r="U139" s="20" t="s">
        <v>1043</v>
      </c>
      <c r="V139" s="126" t="s">
        <v>1044</v>
      </c>
      <c r="W139" s="20" t="s">
        <v>1057</v>
      </c>
      <c r="X139" s="18">
        <v>1.2068965517241379</v>
      </c>
      <c r="Y139" s="18">
        <v>0.83722249875000143</v>
      </c>
      <c r="Z139" s="116">
        <v>4.8600000000000003</v>
      </c>
      <c r="AA139" s="18"/>
      <c r="AB139" s="75"/>
    </row>
    <row r="140" spans="1:28">
      <c r="A140" s="6" t="s">
        <v>656</v>
      </c>
      <c r="B140" s="6" t="str">
        <f t="shared" si="8"/>
        <v>S7 Cars India Pvt. Ltd1204</v>
      </c>
      <c r="C140" s="6" t="s">
        <v>39</v>
      </c>
      <c r="D140" s="5">
        <v>20141</v>
      </c>
      <c r="E140" s="5">
        <v>1204</v>
      </c>
      <c r="F140" s="3" t="s">
        <v>890</v>
      </c>
      <c r="G140" s="3" t="s">
        <v>368</v>
      </c>
      <c r="H140" s="3" t="s">
        <v>369</v>
      </c>
      <c r="I140" s="3" t="s">
        <v>462</v>
      </c>
      <c r="J140" s="9">
        <v>80</v>
      </c>
      <c r="K140" s="9">
        <v>0</v>
      </c>
      <c r="L140" s="9">
        <v>40</v>
      </c>
      <c r="M140" s="9">
        <v>0</v>
      </c>
      <c r="N140" s="9">
        <v>100</v>
      </c>
      <c r="O140" s="9">
        <v>0</v>
      </c>
      <c r="P140" s="9">
        <f t="shared" si="11"/>
        <v>0</v>
      </c>
      <c r="Q140" s="18">
        <v>0.55555555555555558</v>
      </c>
      <c r="R140" s="116">
        <v>4.7</v>
      </c>
      <c r="S140" s="19" t="str">
        <f t="shared" si="9"/>
        <v>20141 (56%)</v>
      </c>
      <c r="T140" s="9">
        <f t="shared" si="10"/>
        <v>0</v>
      </c>
      <c r="U140" s="20" t="s">
        <v>1043</v>
      </c>
      <c r="V140" s="126" t="s">
        <v>1044</v>
      </c>
      <c r="W140" s="20" t="s">
        <v>1041</v>
      </c>
      <c r="X140" s="18">
        <v>1.2068965517241379</v>
      </c>
      <c r="Y140" s="18">
        <v>0.83722249875000143</v>
      </c>
      <c r="Z140" s="116">
        <v>5</v>
      </c>
      <c r="AA140" s="18"/>
      <c r="AB140" s="75"/>
    </row>
    <row r="141" spans="1:28">
      <c r="A141" s="6" t="s">
        <v>656</v>
      </c>
      <c r="B141" s="6" t="str">
        <f t="shared" si="8"/>
        <v>S7 Cars India Pvt. Ltd1204</v>
      </c>
      <c r="C141" s="6" t="s">
        <v>39</v>
      </c>
      <c r="D141" s="3" t="s">
        <v>149</v>
      </c>
      <c r="E141" s="5">
        <v>1204</v>
      </c>
      <c r="F141" s="3" t="s">
        <v>890</v>
      </c>
      <c r="G141" s="3" t="s">
        <v>976</v>
      </c>
      <c r="H141" s="3" t="s">
        <v>370</v>
      </c>
      <c r="I141" s="3" t="s">
        <v>462</v>
      </c>
      <c r="J141" s="9">
        <v>0</v>
      </c>
      <c r="K141" s="9">
        <v>100</v>
      </c>
      <c r="L141" s="9">
        <v>40</v>
      </c>
      <c r="M141" s="9">
        <v>0</v>
      </c>
      <c r="N141" s="9">
        <v>0</v>
      </c>
      <c r="O141" s="9">
        <v>100</v>
      </c>
      <c r="P141" s="9">
        <f t="shared" si="11"/>
        <v>0</v>
      </c>
      <c r="Q141" s="18">
        <v>0.14285714285714285</v>
      </c>
      <c r="R141" s="116">
        <v>5</v>
      </c>
      <c r="S141" s="19" t="str">
        <f t="shared" si="9"/>
        <v>1014102C (14%)</v>
      </c>
      <c r="T141" s="9">
        <f t="shared" si="10"/>
        <v>0</v>
      </c>
      <c r="U141" s="20" t="s">
        <v>1043</v>
      </c>
      <c r="V141" s="126" t="s">
        <v>1044</v>
      </c>
      <c r="W141" s="20" t="s">
        <v>1057</v>
      </c>
      <c r="X141" s="18">
        <v>1.2068965517241379</v>
      </c>
      <c r="Y141" s="18">
        <v>0.83722249875000143</v>
      </c>
      <c r="Z141" s="116">
        <v>4.5</v>
      </c>
      <c r="AA141" s="18"/>
      <c r="AB141" s="75"/>
    </row>
    <row r="142" spans="1:28">
      <c r="A142" s="6" t="s">
        <v>657</v>
      </c>
      <c r="B142" s="6" t="str">
        <f t="shared" si="8"/>
        <v>Saisha Motors Pvt Ltd1987</v>
      </c>
      <c r="C142" s="6" t="s">
        <v>40</v>
      </c>
      <c r="D142" s="5">
        <v>10290</v>
      </c>
      <c r="E142" s="5">
        <v>1987</v>
      </c>
      <c r="F142" s="3" t="s">
        <v>889</v>
      </c>
      <c r="G142" s="3" t="s">
        <v>977</v>
      </c>
      <c r="H142" s="3" t="s">
        <v>371</v>
      </c>
      <c r="I142" s="3" t="s">
        <v>460</v>
      </c>
      <c r="J142" s="9">
        <v>100</v>
      </c>
      <c r="K142" s="9">
        <v>0</v>
      </c>
      <c r="L142" s="9">
        <v>50</v>
      </c>
      <c r="M142" s="9">
        <v>0</v>
      </c>
      <c r="N142" s="9">
        <v>100</v>
      </c>
      <c r="O142" s="9">
        <v>0</v>
      </c>
      <c r="P142" s="9">
        <f t="shared" si="11"/>
        <v>250</v>
      </c>
      <c r="Q142" s="18">
        <v>0.30481283422459893</v>
      </c>
      <c r="R142" s="116">
        <v>4.7</v>
      </c>
      <c r="S142" s="19" t="str">
        <f t="shared" si="9"/>
        <v>10290 (30%)</v>
      </c>
      <c r="T142" s="9">
        <f t="shared" si="10"/>
        <v>76</v>
      </c>
      <c r="U142" s="20" t="s">
        <v>1043</v>
      </c>
      <c r="V142" s="126" t="s">
        <v>1044</v>
      </c>
      <c r="W142" s="20" t="s">
        <v>1041</v>
      </c>
      <c r="X142" s="18">
        <v>0.93121693121693117</v>
      </c>
      <c r="Y142" s="18">
        <v>1.0997465797922572</v>
      </c>
      <c r="Z142" s="116">
        <v>4.9000000000000004</v>
      </c>
      <c r="AA142" s="18"/>
      <c r="AB142" s="75"/>
    </row>
    <row r="143" spans="1:28">
      <c r="A143" s="6" t="s">
        <v>657</v>
      </c>
      <c r="B143" s="6" t="str">
        <f t="shared" si="8"/>
        <v>Saisha Motors Pvt Ltd1987</v>
      </c>
      <c r="C143" s="6" t="s">
        <v>40</v>
      </c>
      <c r="D143" s="6" t="s">
        <v>150</v>
      </c>
      <c r="E143" s="5">
        <v>1987</v>
      </c>
      <c r="F143" s="3" t="s">
        <v>889</v>
      </c>
      <c r="G143" s="3" t="s">
        <v>978</v>
      </c>
      <c r="H143" s="3" t="s">
        <v>372</v>
      </c>
      <c r="I143" s="3" t="s">
        <v>460</v>
      </c>
      <c r="J143" s="9">
        <v>80</v>
      </c>
      <c r="K143" s="9">
        <v>100</v>
      </c>
      <c r="L143" s="9">
        <v>50</v>
      </c>
      <c r="M143" s="9">
        <v>0</v>
      </c>
      <c r="N143" s="9">
        <v>100</v>
      </c>
      <c r="O143" s="9">
        <v>80</v>
      </c>
      <c r="P143" s="9">
        <f t="shared" si="11"/>
        <v>410</v>
      </c>
      <c r="Q143" s="18">
        <v>8.0213903743315509E-2</v>
      </c>
      <c r="R143" s="116">
        <v>5</v>
      </c>
      <c r="S143" s="19" t="str">
        <f t="shared" si="9"/>
        <v>2029001C (8%)</v>
      </c>
      <c r="T143" s="9">
        <f t="shared" si="10"/>
        <v>33</v>
      </c>
      <c r="U143" s="20" t="s">
        <v>1043</v>
      </c>
      <c r="V143" s="126" t="s">
        <v>1044</v>
      </c>
      <c r="W143" s="20" t="s">
        <v>1057</v>
      </c>
      <c r="X143" s="18">
        <v>0.93121693121693117</v>
      </c>
      <c r="Y143" s="18">
        <v>1.0997465797922572</v>
      </c>
      <c r="Z143" s="116">
        <v>5</v>
      </c>
      <c r="AA143" s="18"/>
      <c r="AB143" s="75"/>
    </row>
    <row r="144" spans="1:28">
      <c r="A144" s="6" t="s">
        <v>657</v>
      </c>
      <c r="B144" s="6" t="str">
        <f t="shared" si="8"/>
        <v>Saisha Motors Pvt Ltd1987</v>
      </c>
      <c r="C144" s="6" t="s">
        <v>40</v>
      </c>
      <c r="D144" s="6" t="s">
        <v>151</v>
      </c>
      <c r="E144" s="5">
        <v>1987</v>
      </c>
      <c r="F144" s="3" t="s">
        <v>889</v>
      </c>
      <c r="G144" s="3" t="s">
        <v>979</v>
      </c>
      <c r="H144" s="3" t="s">
        <v>371</v>
      </c>
      <c r="I144" s="3" t="s">
        <v>460</v>
      </c>
      <c r="J144" s="9">
        <v>100</v>
      </c>
      <c r="K144" s="9">
        <v>100</v>
      </c>
      <c r="L144" s="9">
        <v>50</v>
      </c>
      <c r="M144" s="9">
        <v>0</v>
      </c>
      <c r="N144" s="9">
        <v>100</v>
      </c>
      <c r="O144" s="9">
        <v>80</v>
      </c>
      <c r="P144" s="9">
        <f t="shared" si="11"/>
        <v>430</v>
      </c>
      <c r="Q144" s="18">
        <v>0.20320855614973263</v>
      </c>
      <c r="R144" s="116">
        <v>4.7</v>
      </c>
      <c r="S144" s="19" t="str">
        <f t="shared" si="9"/>
        <v>1029003A (20%)</v>
      </c>
      <c r="T144" s="9">
        <f t="shared" si="10"/>
        <v>87</v>
      </c>
      <c r="U144" s="20" t="s">
        <v>1043</v>
      </c>
      <c r="V144" s="126" t="s">
        <v>1044</v>
      </c>
      <c r="W144" s="20" t="s">
        <v>1056</v>
      </c>
      <c r="X144" s="18">
        <v>0.93121693121693117</v>
      </c>
      <c r="Y144" s="18">
        <v>1.0997465797922572</v>
      </c>
      <c r="Z144" s="116">
        <v>4.95</v>
      </c>
      <c r="AA144" s="18"/>
      <c r="AB144" s="75"/>
    </row>
    <row r="145" spans="1:28">
      <c r="A145" s="6" t="s">
        <v>657</v>
      </c>
      <c r="B145" s="6" t="str">
        <f t="shared" si="8"/>
        <v>Saisha Motors Pvt Ltd1987</v>
      </c>
      <c r="C145" s="6" t="s">
        <v>40</v>
      </c>
      <c r="D145" s="6" t="s">
        <v>152</v>
      </c>
      <c r="E145" s="5">
        <v>1987</v>
      </c>
      <c r="F145" s="3" t="s">
        <v>889</v>
      </c>
      <c r="G145" s="3" t="s">
        <v>980</v>
      </c>
      <c r="H145" s="3" t="s">
        <v>373</v>
      </c>
      <c r="I145" s="3" t="s">
        <v>460</v>
      </c>
      <c r="J145" s="9">
        <v>100</v>
      </c>
      <c r="K145" s="9">
        <v>80</v>
      </c>
      <c r="L145" s="9">
        <v>50</v>
      </c>
      <c r="M145" s="9">
        <v>0</v>
      </c>
      <c r="N145" s="9">
        <v>100</v>
      </c>
      <c r="O145" s="9">
        <v>100</v>
      </c>
      <c r="P145" s="9">
        <f t="shared" si="11"/>
        <v>430</v>
      </c>
      <c r="Q145" s="18">
        <v>8.5561497326203204E-2</v>
      </c>
      <c r="R145" s="116">
        <v>4.8</v>
      </c>
      <c r="S145" s="19" t="str">
        <f t="shared" si="9"/>
        <v>2029002C (9%)</v>
      </c>
      <c r="T145" s="9">
        <f t="shared" si="10"/>
        <v>37</v>
      </c>
      <c r="U145" s="20" t="s">
        <v>1043</v>
      </c>
      <c r="V145" s="126" t="s">
        <v>1044</v>
      </c>
      <c r="W145" s="20" t="s">
        <v>1057</v>
      </c>
      <c r="X145" s="18">
        <v>0.93121693121693117</v>
      </c>
      <c r="Y145" s="18">
        <v>1.0997465797922572</v>
      </c>
      <c r="Z145" s="116">
        <v>5</v>
      </c>
      <c r="AA145" s="18"/>
      <c r="AB145" s="75"/>
    </row>
    <row r="146" spans="1:28">
      <c r="A146" s="6" t="s">
        <v>657</v>
      </c>
      <c r="B146" s="6" t="str">
        <f t="shared" si="8"/>
        <v>Saisha Motors Pvt Ltd1987</v>
      </c>
      <c r="C146" s="6" t="s">
        <v>40</v>
      </c>
      <c r="D146" s="6" t="s">
        <v>153</v>
      </c>
      <c r="E146" s="5">
        <v>1987</v>
      </c>
      <c r="F146" s="3" t="s">
        <v>889</v>
      </c>
      <c r="G146" s="3" t="s">
        <v>981</v>
      </c>
      <c r="H146" s="3" t="s">
        <v>374</v>
      </c>
      <c r="I146" s="3" t="s">
        <v>460</v>
      </c>
      <c r="J146" s="9">
        <v>100</v>
      </c>
      <c r="K146" s="9">
        <v>80</v>
      </c>
      <c r="L146" s="9">
        <v>50</v>
      </c>
      <c r="M146" s="9">
        <v>0</v>
      </c>
      <c r="N146" s="9">
        <v>100</v>
      </c>
      <c r="O146" s="9">
        <v>80</v>
      </c>
      <c r="P146" s="9">
        <f t="shared" si="11"/>
        <v>410</v>
      </c>
      <c r="Q146" s="18">
        <v>9.0909090909090912E-2</v>
      </c>
      <c r="R146" s="116">
        <v>4.9000000000000004</v>
      </c>
      <c r="S146" s="19" t="str">
        <f t="shared" si="9"/>
        <v>2029004C (9%)</v>
      </c>
      <c r="T146" s="9">
        <f t="shared" si="10"/>
        <v>37</v>
      </c>
      <c r="U146" s="20" t="s">
        <v>1043</v>
      </c>
      <c r="V146" s="126" t="s">
        <v>1044</v>
      </c>
      <c r="W146" s="20" t="s">
        <v>1057</v>
      </c>
      <c r="X146" s="18">
        <v>0.93121693121693117</v>
      </c>
      <c r="Y146" s="18">
        <v>1.0997465797922572</v>
      </c>
      <c r="Z146" s="116">
        <v>5</v>
      </c>
      <c r="AA146" s="18"/>
      <c r="AB146" s="75"/>
    </row>
    <row r="147" spans="1:28">
      <c r="A147" s="6" t="s">
        <v>658</v>
      </c>
      <c r="B147" s="6" t="str">
        <f t="shared" si="8"/>
        <v>Sarra Motors1958</v>
      </c>
      <c r="C147" s="6" t="s">
        <v>41</v>
      </c>
      <c r="D147" s="5">
        <v>10032</v>
      </c>
      <c r="E147" s="5">
        <v>1958</v>
      </c>
      <c r="F147" s="3" t="s">
        <v>889</v>
      </c>
      <c r="G147" s="3" t="s">
        <v>375</v>
      </c>
      <c r="H147" s="3" t="s">
        <v>982</v>
      </c>
      <c r="I147" s="3" t="s">
        <v>467</v>
      </c>
      <c r="J147" s="9">
        <v>100</v>
      </c>
      <c r="K147" s="9">
        <v>0</v>
      </c>
      <c r="L147" s="9">
        <v>40</v>
      </c>
      <c r="M147" s="9">
        <v>50</v>
      </c>
      <c r="N147" s="9">
        <v>100</v>
      </c>
      <c r="O147" s="9">
        <v>0</v>
      </c>
      <c r="P147" s="9">
        <f t="shared" si="11"/>
        <v>0</v>
      </c>
      <c r="Q147" s="18">
        <v>1</v>
      </c>
      <c r="R147" s="116">
        <v>4.7</v>
      </c>
      <c r="S147" s="19" t="str">
        <f t="shared" si="9"/>
        <v>10032 (100%)</v>
      </c>
      <c r="T147" s="9">
        <f t="shared" si="10"/>
        <v>0</v>
      </c>
      <c r="U147" s="20" t="s">
        <v>1043</v>
      </c>
      <c r="V147" s="126" t="s">
        <v>1044</v>
      </c>
      <c r="W147" s="20" t="s">
        <v>1040</v>
      </c>
      <c r="X147" s="18">
        <v>1.15625</v>
      </c>
      <c r="Y147" s="18">
        <v>0.8741838104166666</v>
      </c>
      <c r="Z147" s="116">
        <v>4.96</v>
      </c>
      <c r="AA147" s="18"/>
      <c r="AB147" s="75"/>
    </row>
    <row r="148" spans="1:28">
      <c r="A148" s="6" t="s">
        <v>661</v>
      </c>
      <c r="B148" s="6" t="str">
        <f t="shared" si="8"/>
        <v>Satguru Motors1489</v>
      </c>
      <c r="C148" s="6" t="s">
        <v>42</v>
      </c>
      <c r="D148" s="5">
        <v>10025</v>
      </c>
      <c r="E148" s="5">
        <v>1489</v>
      </c>
      <c r="F148" s="3" t="s">
        <v>889</v>
      </c>
      <c r="G148" s="3" t="s">
        <v>983</v>
      </c>
      <c r="H148" s="3" t="s">
        <v>376</v>
      </c>
      <c r="I148" s="3" t="s">
        <v>460</v>
      </c>
      <c r="J148" s="9">
        <v>0</v>
      </c>
      <c r="K148" s="9">
        <v>0</v>
      </c>
      <c r="L148" s="9">
        <v>0</v>
      </c>
      <c r="M148" s="9">
        <v>0</v>
      </c>
      <c r="N148" s="9">
        <v>80</v>
      </c>
      <c r="O148" s="9">
        <v>80</v>
      </c>
      <c r="P148" s="9">
        <f t="shared" si="11"/>
        <v>160</v>
      </c>
      <c r="Q148" s="18">
        <v>0.69090909090909092</v>
      </c>
      <c r="R148" s="116">
        <v>4.7</v>
      </c>
      <c r="S148" s="19" t="str">
        <f t="shared" si="9"/>
        <v>10025 (69%)</v>
      </c>
      <c r="T148" s="9">
        <f t="shared" si="10"/>
        <v>111</v>
      </c>
      <c r="U148" s="20" t="s">
        <v>1043</v>
      </c>
      <c r="V148" s="126" t="s">
        <v>1044</v>
      </c>
      <c r="W148" s="20" t="s">
        <v>1040</v>
      </c>
      <c r="X148" s="18">
        <v>4</v>
      </c>
      <c r="Y148" s="18">
        <v>1.0610186615042858</v>
      </c>
      <c r="Z148" s="116">
        <v>4.8099999999999996</v>
      </c>
      <c r="AA148" s="18"/>
      <c r="AB148" s="75"/>
    </row>
    <row r="149" spans="1:28">
      <c r="A149" s="6" t="s">
        <v>661</v>
      </c>
      <c r="B149" s="6" t="str">
        <f t="shared" si="8"/>
        <v>Satguru Motors1489</v>
      </c>
      <c r="C149" s="6" t="s">
        <v>42</v>
      </c>
      <c r="D149" s="6" t="s">
        <v>154</v>
      </c>
      <c r="E149" s="5">
        <v>1489</v>
      </c>
      <c r="F149" s="3" t="s">
        <v>889</v>
      </c>
      <c r="G149" s="3" t="s">
        <v>377</v>
      </c>
      <c r="H149" s="3" t="s">
        <v>378</v>
      </c>
      <c r="I149" s="3" t="s">
        <v>460</v>
      </c>
      <c r="J149" s="9">
        <v>0</v>
      </c>
      <c r="K149" s="9">
        <v>0</v>
      </c>
      <c r="L149" s="9">
        <v>0</v>
      </c>
      <c r="M149" s="9">
        <v>0</v>
      </c>
      <c r="N149" s="9">
        <v>0</v>
      </c>
      <c r="O149" s="9">
        <v>80</v>
      </c>
      <c r="P149" s="9">
        <f t="shared" si="11"/>
        <v>0</v>
      </c>
      <c r="Q149" s="18">
        <v>0.14545454545454545</v>
      </c>
      <c r="R149" s="116">
        <v>4.7</v>
      </c>
      <c r="S149" s="19" t="str">
        <f t="shared" si="9"/>
        <v>1002502C (15%)</v>
      </c>
      <c r="T149" s="9">
        <f t="shared" si="10"/>
        <v>0</v>
      </c>
      <c r="U149" s="20" t="s">
        <v>1043</v>
      </c>
      <c r="V149" s="126" t="s">
        <v>1044</v>
      </c>
      <c r="W149" s="20" t="s">
        <v>1057</v>
      </c>
      <c r="X149" s="18">
        <v>4</v>
      </c>
      <c r="Y149" s="18">
        <v>1.0610186615042858</v>
      </c>
      <c r="Z149" s="116">
        <v>4</v>
      </c>
      <c r="AA149" s="18"/>
      <c r="AB149" s="75"/>
    </row>
    <row r="150" spans="1:28">
      <c r="A150" s="6" t="s">
        <v>663</v>
      </c>
      <c r="B150" s="6" t="str">
        <f t="shared" si="8"/>
        <v>SGA Cars India Pvt Ltd 2154</v>
      </c>
      <c r="C150" s="6" t="s">
        <v>43</v>
      </c>
      <c r="D150" s="5">
        <v>10334</v>
      </c>
      <c r="E150" s="5">
        <v>2154</v>
      </c>
      <c r="F150" s="3" t="s">
        <v>890</v>
      </c>
      <c r="G150" s="3" t="s">
        <v>984</v>
      </c>
      <c r="H150" s="3" t="s">
        <v>379</v>
      </c>
      <c r="I150" s="3" t="s">
        <v>462</v>
      </c>
      <c r="J150" s="9">
        <v>100</v>
      </c>
      <c r="K150" s="9">
        <v>80</v>
      </c>
      <c r="L150" s="9">
        <v>50</v>
      </c>
      <c r="M150" s="9">
        <v>0</v>
      </c>
      <c r="N150" s="9">
        <v>0</v>
      </c>
      <c r="O150" s="9">
        <v>80</v>
      </c>
      <c r="P150" s="9">
        <f t="shared" si="11"/>
        <v>0</v>
      </c>
      <c r="Q150" s="18">
        <v>0.25242718446601942</v>
      </c>
      <c r="R150" s="116">
        <v>4.8</v>
      </c>
      <c r="S150" s="19" t="str">
        <f t="shared" si="9"/>
        <v>10334 (25%)</v>
      </c>
      <c r="T150" s="9">
        <f t="shared" si="10"/>
        <v>0</v>
      </c>
      <c r="U150" s="20" t="s">
        <v>1043</v>
      </c>
      <c r="V150" s="126" t="s">
        <v>1044</v>
      </c>
      <c r="W150" s="20" t="s">
        <v>1041</v>
      </c>
      <c r="X150" s="18">
        <v>1.1388888888888888</v>
      </c>
      <c r="Y150" s="18">
        <v>1.1350078891982143</v>
      </c>
      <c r="Z150" s="116">
        <v>4.5</v>
      </c>
      <c r="AA150" s="18"/>
      <c r="AB150" s="75"/>
    </row>
    <row r="151" spans="1:28">
      <c r="A151" s="6" t="s">
        <v>663</v>
      </c>
      <c r="B151" s="6" t="str">
        <f t="shared" si="8"/>
        <v>SGA Cars India Pvt Ltd 2154</v>
      </c>
      <c r="C151" s="6" t="s">
        <v>43</v>
      </c>
      <c r="D151" s="5">
        <v>10342</v>
      </c>
      <c r="E151" s="5">
        <v>2154</v>
      </c>
      <c r="F151" s="3" t="s">
        <v>890</v>
      </c>
      <c r="G151" s="3" t="s">
        <v>985</v>
      </c>
      <c r="H151" s="3" t="s">
        <v>379</v>
      </c>
      <c r="I151" s="3" t="s">
        <v>462</v>
      </c>
      <c r="J151" s="9">
        <v>100</v>
      </c>
      <c r="K151" s="9">
        <v>100</v>
      </c>
      <c r="L151" s="9">
        <v>50</v>
      </c>
      <c r="M151" s="9">
        <v>50</v>
      </c>
      <c r="N151" s="9">
        <v>80</v>
      </c>
      <c r="O151" s="9">
        <v>80</v>
      </c>
      <c r="P151" s="9">
        <f t="shared" si="11"/>
        <v>460</v>
      </c>
      <c r="Q151" s="18">
        <v>0.20388349514563106</v>
      </c>
      <c r="R151" s="116">
        <v>4.8</v>
      </c>
      <c r="S151" s="19" t="str">
        <f t="shared" si="9"/>
        <v>10342 (20%)</v>
      </c>
      <c r="T151" s="9">
        <f t="shared" si="10"/>
        <v>94</v>
      </c>
      <c r="U151" s="20" t="s">
        <v>1043</v>
      </c>
      <c r="V151" s="126" t="s">
        <v>1045</v>
      </c>
      <c r="W151" s="20" t="s">
        <v>1059</v>
      </c>
      <c r="X151" s="18">
        <v>1.1388888888888888</v>
      </c>
      <c r="Y151" s="18" t="s">
        <v>1066</v>
      </c>
      <c r="Z151" s="116">
        <v>4.67</v>
      </c>
      <c r="AA151" s="18"/>
      <c r="AB151" s="75"/>
    </row>
    <row r="152" spans="1:28">
      <c r="A152" s="6" t="s">
        <v>663</v>
      </c>
      <c r="B152" s="6" t="str">
        <f t="shared" si="8"/>
        <v>SGA Cars India Pvt Ltd 2154</v>
      </c>
      <c r="C152" s="6" t="s">
        <v>43</v>
      </c>
      <c r="D152" s="6" t="s">
        <v>155</v>
      </c>
      <c r="E152" s="5">
        <v>2154</v>
      </c>
      <c r="F152" s="3" t="s">
        <v>890</v>
      </c>
      <c r="G152" s="3" t="s">
        <v>986</v>
      </c>
      <c r="H152" s="3" t="s">
        <v>380</v>
      </c>
      <c r="I152" s="3" t="s">
        <v>462</v>
      </c>
      <c r="J152" s="9">
        <v>100</v>
      </c>
      <c r="K152" s="9">
        <v>100</v>
      </c>
      <c r="L152" s="9">
        <v>50</v>
      </c>
      <c r="M152" s="9">
        <v>0</v>
      </c>
      <c r="N152" s="9">
        <v>0</v>
      </c>
      <c r="O152" s="9">
        <v>80</v>
      </c>
      <c r="P152" s="9">
        <f t="shared" si="11"/>
        <v>0</v>
      </c>
      <c r="Q152" s="18">
        <v>0.13592233009708737</v>
      </c>
      <c r="R152" s="116">
        <v>4.9000000000000004</v>
      </c>
      <c r="S152" s="19" t="str">
        <f t="shared" si="9"/>
        <v>1033401A (14%)</v>
      </c>
      <c r="T152" s="9">
        <f t="shared" si="10"/>
        <v>0</v>
      </c>
      <c r="U152" s="20" t="s">
        <v>1043</v>
      </c>
      <c r="V152" s="126" t="s">
        <v>1044</v>
      </c>
      <c r="W152" s="20" t="s">
        <v>1056</v>
      </c>
      <c r="X152" s="18">
        <v>1.1388888888888888</v>
      </c>
      <c r="Y152" s="18">
        <v>1.1350078891982143</v>
      </c>
      <c r="Z152" s="116">
        <v>4.5599999999999996</v>
      </c>
      <c r="AA152" s="18"/>
      <c r="AB152" s="75"/>
    </row>
    <row r="153" spans="1:28">
      <c r="A153" s="6" t="s">
        <v>663</v>
      </c>
      <c r="B153" s="6" t="str">
        <f t="shared" si="8"/>
        <v>SGA Cars India Pvt Ltd 2154</v>
      </c>
      <c r="C153" s="6" t="s">
        <v>43</v>
      </c>
      <c r="D153" s="6" t="s">
        <v>156</v>
      </c>
      <c r="E153" s="5">
        <v>2154</v>
      </c>
      <c r="F153" s="3" t="s">
        <v>890</v>
      </c>
      <c r="G153" s="3" t="s">
        <v>987</v>
      </c>
      <c r="H153" s="3" t="s">
        <v>381</v>
      </c>
      <c r="I153" s="3" t="s">
        <v>462</v>
      </c>
      <c r="J153" s="9">
        <v>100</v>
      </c>
      <c r="K153" s="9">
        <v>100</v>
      </c>
      <c r="L153" s="9">
        <v>50</v>
      </c>
      <c r="M153" s="9">
        <v>0</v>
      </c>
      <c r="N153" s="9">
        <v>0</v>
      </c>
      <c r="O153" s="9">
        <v>0</v>
      </c>
      <c r="P153" s="9">
        <f t="shared" si="11"/>
        <v>0</v>
      </c>
      <c r="Q153" s="18">
        <v>8.7378640776699032E-2</v>
      </c>
      <c r="R153" s="116">
        <v>4.9000000000000004</v>
      </c>
      <c r="S153" s="19" t="str">
        <f t="shared" si="9"/>
        <v>1025902C (9%)</v>
      </c>
      <c r="T153" s="9">
        <f t="shared" si="10"/>
        <v>0</v>
      </c>
      <c r="U153" s="20" t="s">
        <v>1043</v>
      </c>
      <c r="V153" s="126" t="s">
        <v>1044</v>
      </c>
      <c r="W153" s="20" t="s">
        <v>1057</v>
      </c>
      <c r="X153" s="18">
        <v>1.1388888888888888</v>
      </c>
      <c r="Y153" s="18">
        <v>1.1350078891982143</v>
      </c>
      <c r="Z153" s="116">
        <v>4.5</v>
      </c>
      <c r="AA153" s="18"/>
      <c r="AB153" s="75"/>
    </row>
    <row r="154" spans="1:28">
      <c r="A154" s="6" t="s">
        <v>663</v>
      </c>
      <c r="B154" s="6" t="str">
        <f t="shared" si="8"/>
        <v>SGA Cars India Pvt Ltd 2154</v>
      </c>
      <c r="C154" s="6" t="s">
        <v>43</v>
      </c>
      <c r="D154" s="6" t="s">
        <v>157</v>
      </c>
      <c r="E154" s="5">
        <v>2154</v>
      </c>
      <c r="F154" s="3" t="s">
        <v>890</v>
      </c>
      <c r="G154" s="3" t="s">
        <v>988</v>
      </c>
      <c r="H154" s="3" t="s">
        <v>382</v>
      </c>
      <c r="I154" s="3" t="s">
        <v>462</v>
      </c>
      <c r="J154" s="9">
        <v>100</v>
      </c>
      <c r="K154" s="9">
        <v>100</v>
      </c>
      <c r="L154" s="9">
        <v>50</v>
      </c>
      <c r="M154" s="9">
        <v>0</v>
      </c>
      <c r="N154" s="9">
        <v>80</v>
      </c>
      <c r="O154" s="9">
        <v>0</v>
      </c>
      <c r="P154" s="9">
        <f t="shared" si="11"/>
        <v>330</v>
      </c>
      <c r="Q154" s="18">
        <v>8.7378640776699032E-2</v>
      </c>
      <c r="R154" s="116">
        <v>4.9000000000000004</v>
      </c>
      <c r="S154" s="19" t="str">
        <f t="shared" si="9"/>
        <v>1025903C (9%)</v>
      </c>
      <c r="T154" s="9">
        <f t="shared" si="10"/>
        <v>29</v>
      </c>
      <c r="U154" s="20" t="s">
        <v>1043</v>
      </c>
      <c r="V154" s="126" t="s">
        <v>1044</v>
      </c>
      <c r="W154" s="20" t="s">
        <v>1057</v>
      </c>
      <c r="X154" s="18">
        <v>1.1388888888888888</v>
      </c>
      <c r="Y154" s="18">
        <v>1.1350078891982143</v>
      </c>
      <c r="Z154" s="116">
        <v>4.66</v>
      </c>
      <c r="AA154" s="18"/>
      <c r="AB154" s="75"/>
    </row>
    <row r="155" spans="1:28">
      <c r="A155" s="6" t="s">
        <v>663</v>
      </c>
      <c r="B155" s="6" t="str">
        <f t="shared" si="8"/>
        <v>SGA Cars India Pvt Ltd 2154</v>
      </c>
      <c r="C155" s="6" t="s">
        <v>43</v>
      </c>
      <c r="D155" s="6" t="s">
        <v>158</v>
      </c>
      <c r="E155" s="5">
        <v>2154</v>
      </c>
      <c r="F155" s="3" t="s">
        <v>890</v>
      </c>
      <c r="G155" s="3" t="s">
        <v>383</v>
      </c>
      <c r="H155" s="3" t="s">
        <v>379</v>
      </c>
      <c r="I155" s="3" t="s">
        <v>462</v>
      </c>
      <c r="J155" s="9">
        <v>100</v>
      </c>
      <c r="K155" s="9">
        <v>100</v>
      </c>
      <c r="L155" s="9">
        <v>50</v>
      </c>
      <c r="M155" s="9">
        <v>0</v>
      </c>
      <c r="N155" s="9">
        <v>80</v>
      </c>
      <c r="O155" s="9">
        <v>80</v>
      </c>
      <c r="P155" s="9">
        <f t="shared" si="11"/>
        <v>410</v>
      </c>
      <c r="Q155" s="18">
        <v>0.23300970873786409</v>
      </c>
      <c r="R155" s="116">
        <v>4.9000000000000004</v>
      </c>
      <c r="S155" s="19" t="str">
        <f t="shared" si="9"/>
        <v>1025904C (23%)</v>
      </c>
      <c r="T155" s="9">
        <f t="shared" si="10"/>
        <v>96</v>
      </c>
      <c r="U155" s="20" t="s">
        <v>1043</v>
      </c>
      <c r="V155" s="126" t="s">
        <v>1044</v>
      </c>
      <c r="W155" s="20" t="s">
        <v>1057</v>
      </c>
      <c r="X155" s="18">
        <v>1.1388888888888888</v>
      </c>
      <c r="Y155" s="18">
        <v>1.1350078891982143</v>
      </c>
      <c r="Z155" s="116">
        <v>4.84</v>
      </c>
      <c r="AA155" s="18"/>
      <c r="AB155" s="75"/>
    </row>
    <row r="156" spans="1:28">
      <c r="A156" s="6" t="s">
        <v>664</v>
      </c>
      <c r="B156" s="6" t="str">
        <f t="shared" si="8"/>
        <v>Shanta Motors Pvt. Ltd.2185</v>
      </c>
      <c r="C156" s="6" t="s">
        <v>44</v>
      </c>
      <c r="D156" s="5">
        <v>10392</v>
      </c>
      <c r="E156" s="5">
        <v>2185</v>
      </c>
      <c r="F156" s="3" t="s">
        <v>889</v>
      </c>
      <c r="G156" s="3" t="s">
        <v>384</v>
      </c>
      <c r="H156" s="3" t="s">
        <v>385</v>
      </c>
      <c r="I156" s="3" t="s">
        <v>460</v>
      </c>
      <c r="J156" s="9">
        <v>0</v>
      </c>
      <c r="K156" s="9">
        <v>0</v>
      </c>
      <c r="L156" s="9">
        <v>40</v>
      </c>
      <c r="M156" s="9">
        <v>50</v>
      </c>
      <c r="N156" s="9">
        <v>100</v>
      </c>
      <c r="O156" s="9">
        <v>0</v>
      </c>
      <c r="P156" s="9">
        <f t="shared" si="11"/>
        <v>0</v>
      </c>
      <c r="Q156" s="18">
        <v>0.75</v>
      </c>
      <c r="R156" s="116">
        <v>4.9000000000000004</v>
      </c>
      <c r="S156" s="19" t="str">
        <f t="shared" si="9"/>
        <v>10392 (75%)</v>
      </c>
      <c r="T156" s="9">
        <f t="shared" si="10"/>
        <v>0</v>
      </c>
      <c r="U156" s="20" t="s">
        <v>1043</v>
      </c>
      <c r="V156" s="126" t="s">
        <v>1044</v>
      </c>
      <c r="W156" s="20" t="s">
        <v>1040</v>
      </c>
      <c r="X156" s="18">
        <v>0.59459459459459463</v>
      </c>
      <c r="Y156" s="18">
        <v>1.0325522571428574</v>
      </c>
      <c r="Z156" s="116">
        <v>5</v>
      </c>
      <c r="AA156" s="18"/>
      <c r="AB156" s="75"/>
    </row>
    <row r="157" spans="1:28">
      <c r="A157" s="6" t="s">
        <v>665</v>
      </c>
      <c r="B157" s="6" t="str">
        <f t="shared" si="8"/>
        <v>Shekhawati Electronics Pvt Ltd 2768</v>
      </c>
      <c r="C157" s="6" t="s">
        <v>45</v>
      </c>
      <c r="D157" s="3">
        <v>10352</v>
      </c>
      <c r="E157" s="5">
        <v>2768</v>
      </c>
      <c r="F157" s="3" t="s">
        <v>889</v>
      </c>
      <c r="G157" s="3" t="s">
        <v>989</v>
      </c>
      <c r="H157" s="3" t="s">
        <v>702</v>
      </c>
      <c r="I157" s="3" t="s">
        <v>464</v>
      </c>
      <c r="J157" s="9">
        <v>0</v>
      </c>
      <c r="K157" s="9">
        <v>100</v>
      </c>
      <c r="L157" s="9">
        <v>0</v>
      </c>
      <c r="M157" s="9">
        <v>0</v>
      </c>
      <c r="N157" s="9">
        <v>100</v>
      </c>
      <c r="O157" s="9">
        <v>80</v>
      </c>
      <c r="P157" s="9">
        <f t="shared" si="11"/>
        <v>280</v>
      </c>
      <c r="Q157" s="18">
        <v>1</v>
      </c>
      <c r="R157" s="116">
        <v>4.7</v>
      </c>
      <c r="S157" s="19" t="str">
        <f t="shared" si="9"/>
        <v>10352 (100%)</v>
      </c>
      <c r="T157" s="9">
        <f t="shared" si="10"/>
        <v>280</v>
      </c>
      <c r="U157" s="20" t="s">
        <v>1043</v>
      </c>
      <c r="V157" s="126" t="s">
        <v>1044</v>
      </c>
      <c r="W157" s="20" t="s">
        <v>1041</v>
      </c>
      <c r="X157" s="18">
        <v>1.2702702702702702</v>
      </c>
      <c r="Y157" s="18">
        <v>1.4113384317406121</v>
      </c>
      <c r="Z157" s="116">
        <v>5</v>
      </c>
      <c r="AA157" s="18"/>
      <c r="AB157" s="75"/>
    </row>
    <row r="158" spans="1:28">
      <c r="A158" s="6" t="s">
        <v>666</v>
      </c>
      <c r="B158" s="6" t="str">
        <f t="shared" si="8"/>
        <v>Shreenathji Automobiles Pvt Ltd2774</v>
      </c>
      <c r="C158" s="6" t="s">
        <v>46</v>
      </c>
      <c r="D158" s="5">
        <v>10335</v>
      </c>
      <c r="E158" s="5">
        <v>2774</v>
      </c>
      <c r="F158" s="3" t="s">
        <v>889</v>
      </c>
      <c r="G158" s="3" t="s">
        <v>990</v>
      </c>
      <c r="H158" s="3" t="s">
        <v>386</v>
      </c>
      <c r="I158" s="3" t="s">
        <v>467</v>
      </c>
      <c r="J158" s="9">
        <v>100</v>
      </c>
      <c r="K158" s="9">
        <v>80</v>
      </c>
      <c r="L158" s="9">
        <v>40</v>
      </c>
      <c r="M158" s="9">
        <v>0</v>
      </c>
      <c r="N158" s="9">
        <v>100</v>
      </c>
      <c r="O158" s="9">
        <v>80</v>
      </c>
      <c r="P158" s="9">
        <f t="shared" si="11"/>
        <v>400</v>
      </c>
      <c r="Q158" s="18">
        <v>0.47887323943661969</v>
      </c>
      <c r="R158" s="116">
        <v>4.9000000000000004</v>
      </c>
      <c r="S158" s="19" t="str">
        <f t="shared" si="9"/>
        <v>10335 (48%)</v>
      </c>
      <c r="T158" s="9">
        <f t="shared" si="10"/>
        <v>192</v>
      </c>
      <c r="U158" s="20" t="s">
        <v>1043</v>
      </c>
      <c r="V158" s="126" t="s">
        <v>1044</v>
      </c>
      <c r="W158" s="20" t="s">
        <v>1041</v>
      </c>
      <c r="X158" s="18">
        <v>1.196969696969697</v>
      </c>
      <c r="Y158" s="18">
        <v>0.9629080694183868</v>
      </c>
      <c r="Z158" s="116">
        <v>4.93</v>
      </c>
      <c r="AA158" s="18"/>
      <c r="AB158" s="75"/>
    </row>
    <row r="159" spans="1:28">
      <c r="A159" s="6" t="s">
        <v>666</v>
      </c>
      <c r="B159" s="6" t="str">
        <f t="shared" si="8"/>
        <v>Shreenathji Automobiles Pvt Ltd2774</v>
      </c>
      <c r="C159" s="6" t="s">
        <v>46</v>
      </c>
      <c r="D159" s="6" t="s">
        <v>159</v>
      </c>
      <c r="E159" s="5">
        <v>2774</v>
      </c>
      <c r="F159" s="3" t="s">
        <v>889</v>
      </c>
      <c r="G159" s="3" t="s">
        <v>991</v>
      </c>
      <c r="H159" s="3" t="s">
        <v>387</v>
      </c>
      <c r="I159" s="3" t="s">
        <v>467</v>
      </c>
      <c r="J159" s="9">
        <v>0</v>
      </c>
      <c r="K159" s="9">
        <v>0</v>
      </c>
      <c r="L159" s="9">
        <v>40</v>
      </c>
      <c r="M159" s="9">
        <v>0</v>
      </c>
      <c r="N159" s="9">
        <v>100</v>
      </c>
      <c r="O159" s="9">
        <v>100</v>
      </c>
      <c r="P159" s="9">
        <f t="shared" si="11"/>
        <v>240</v>
      </c>
      <c r="Q159" s="18">
        <v>0.12676056338028169</v>
      </c>
      <c r="R159" s="116">
        <v>4.9000000000000004</v>
      </c>
      <c r="S159" s="19" t="str">
        <f t="shared" si="9"/>
        <v>2033503C (13%)</v>
      </c>
      <c r="T159" s="9">
        <f t="shared" si="10"/>
        <v>30</v>
      </c>
      <c r="U159" s="20" t="s">
        <v>1043</v>
      </c>
      <c r="V159" s="126" t="s">
        <v>1044</v>
      </c>
      <c r="W159" s="20" t="s">
        <v>1057</v>
      </c>
      <c r="X159" s="18">
        <v>1.196969696969697</v>
      </c>
      <c r="Y159" s="18">
        <v>0.9629080694183868</v>
      </c>
      <c r="Z159" s="116">
        <v>5</v>
      </c>
      <c r="AA159" s="18"/>
      <c r="AB159" s="75"/>
    </row>
    <row r="160" spans="1:28">
      <c r="A160" s="6" t="s">
        <v>666</v>
      </c>
      <c r="B160" s="6" t="str">
        <f t="shared" si="8"/>
        <v>Shreenathji Automobiles Pvt Ltd2774</v>
      </c>
      <c r="C160" s="6" t="s">
        <v>46</v>
      </c>
      <c r="D160" s="6" t="s">
        <v>160</v>
      </c>
      <c r="E160" s="5">
        <v>2774</v>
      </c>
      <c r="F160" s="3" t="s">
        <v>889</v>
      </c>
      <c r="G160" s="3" t="s">
        <v>388</v>
      </c>
      <c r="H160" s="3" t="s">
        <v>389</v>
      </c>
      <c r="I160" s="3" t="s">
        <v>467</v>
      </c>
      <c r="J160" s="9">
        <v>100</v>
      </c>
      <c r="K160" s="9">
        <v>0</v>
      </c>
      <c r="L160" s="9">
        <v>40</v>
      </c>
      <c r="M160" s="9">
        <v>0</v>
      </c>
      <c r="N160" s="9">
        <v>100</v>
      </c>
      <c r="O160" s="9">
        <v>80</v>
      </c>
      <c r="P160" s="9">
        <f t="shared" si="11"/>
        <v>320</v>
      </c>
      <c r="Q160" s="18">
        <v>0.12676056338028169</v>
      </c>
      <c r="R160" s="116">
        <v>4.9000000000000004</v>
      </c>
      <c r="S160" s="19" t="str">
        <f t="shared" si="9"/>
        <v>2033502C (13%)</v>
      </c>
      <c r="T160" s="9">
        <f t="shared" si="10"/>
        <v>41</v>
      </c>
      <c r="U160" s="20" t="s">
        <v>1043</v>
      </c>
      <c r="V160" s="126" t="s">
        <v>1044</v>
      </c>
      <c r="W160" s="20" t="s">
        <v>1057</v>
      </c>
      <c r="X160" s="18">
        <v>1.196969696969697</v>
      </c>
      <c r="Y160" s="18">
        <v>0.9629080694183868</v>
      </c>
      <c r="Z160" s="116">
        <v>5</v>
      </c>
      <c r="AA160" s="18"/>
      <c r="AB160" s="75"/>
    </row>
    <row r="161" spans="1:28">
      <c r="A161" s="6" t="s">
        <v>666</v>
      </c>
      <c r="B161" s="6" t="str">
        <f t="shared" si="8"/>
        <v>Shreenathji Automobiles Pvt Ltd2774</v>
      </c>
      <c r="C161" s="6" t="s">
        <v>46</v>
      </c>
      <c r="D161" s="6" t="s">
        <v>161</v>
      </c>
      <c r="E161" s="5">
        <v>2774</v>
      </c>
      <c r="F161" s="3" t="s">
        <v>889</v>
      </c>
      <c r="G161" s="3" t="s">
        <v>390</v>
      </c>
      <c r="H161" s="3" t="s">
        <v>391</v>
      </c>
      <c r="I161" s="3" t="s">
        <v>467</v>
      </c>
      <c r="J161" s="9">
        <v>0</v>
      </c>
      <c r="K161" s="9">
        <v>0</v>
      </c>
      <c r="L161" s="9">
        <v>40</v>
      </c>
      <c r="M161" s="9">
        <v>0</v>
      </c>
      <c r="N161" s="9">
        <v>100</v>
      </c>
      <c r="O161" s="9">
        <v>80</v>
      </c>
      <c r="P161" s="9">
        <f t="shared" si="11"/>
        <v>220</v>
      </c>
      <c r="Q161" s="18">
        <v>0.12676056338028169</v>
      </c>
      <c r="R161" s="116">
        <v>4.9000000000000004</v>
      </c>
      <c r="S161" s="19" t="str">
        <f t="shared" si="9"/>
        <v>2033504C (13%)</v>
      </c>
      <c r="T161" s="9">
        <f t="shared" si="10"/>
        <v>28</v>
      </c>
      <c r="U161" s="20" t="s">
        <v>1043</v>
      </c>
      <c r="V161" s="126" t="s">
        <v>1044</v>
      </c>
      <c r="W161" s="20" t="s">
        <v>1057</v>
      </c>
      <c r="X161" s="18">
        <v>1.196969696969697</v>
      </c>
      <c r="Y161" s="18">
        <v>0.9629080694183868</v>
      </c>
      <c r="Z161" s="116">
        <v>5</v>
      </c>
      <c r="AA161" s="18"/>
      <c r="AB161" s="75"/>
    </row>
    <row r="162" spans="1:28">
      <c r="A162" s="6" t="s">
        <v>666</v>
      </c>
      <c r="B162" s="6" t="str">
        <f t="shared" si="8"/>
        <v>Shreenathji Automobiles Pvt Ltd2774</v>
      </c>
      <c r="C162" s="6" t="s">
        <v>46</v>
      </c>
      <c r="D162" s="6" t="s">
        <v>162</v>
      </c>
      <c r="E162" s="5">
        <v>2774</v>
      </c>
      <c r="F162" s="3" t="s">
        <v>889</v>
      </c>
      <c r="G162" s="3" t="s">
        <v>392</v>
      </c>
      <c r="H162" s="3" t="s">
        <v>393</v>
      </c>
      <c r="I162" s="3" t="s">
        <v>467</v>
      </c>
      <c r="J162" s="9">
        <v>100</v>
      </c>
      <c r="K162" s="9">
        <v>80</v>
      </c>
      <c r="L162" s="9">
        <v>40</v>
      </c>
      <c r="M162" s="9">
        <v>0</v>
      </c>
      <c r="N162" s="9">
        <v>100</v>
      </c>
      <c r="O162" s="9">
        <v>80</v>
      </c>
      <c r="P162" s="9">
        <f t="shared" si="11"/>
        <v>400</v>
      </c>
      <c r="Q162" s="18">
        <v>0.14084507042253522</v>
      </c>
      <c r="R162" s="116">
        <v>4.9000000000000004</v>
      </c>
      <c r="S162" s="19" t="str">
        <f t="shared" si="9"/>
        <v>2033505C (14%)</v>
      </c>
      <c r="T162" s="9">
        <f t="shared" si="10"/>
        <v>56</v>
      </c>
      <c r="U162" s="20" t="s">
        <v>1043</v>
      </c>
      <c r="V162" s="126" t="s">
        <v>1044</v>
      </c>
      <c r="W162" s="20" t="s">
        <v>1057</v>
      </c>
      <c r="X162" s="18">
        <v>1.196969696969697</v>
      </c>
      <c r="Y162" s="18">
        <v>0.9629080694183868</v>
      </c>
      <c r="Z162" s="116">
        <v>5</v>
      </c>
      <c r="AA162" s="18"/>
      <c r="AB162" s="75"/>
    </row>
    <row r="163" spans="1:28">
      <c r="A163" s="6" t="s">
        <v>662</v>
      </c>
      <c r="B163" s="6" t="str">
        <f t="shared" si="8"/>
        <v>ShriBalaji AutoAgency Mysore Pvt. Ltd2168</v>
      </c>
      <c r="C163" s="6" t="s">
        <v>47</v>
      </c>
      <c r="D163" s="5">
        <v>10343</v>
      </c>
      <c r="E163" s="5">
        <v>2168</v>
      </c>
      <c r="F163" s="3" t="s">
        <v>890</v>
      </c>
      <c r="G163" s="3" t="s">
        <v>992</v>
      </c>
      <c r="H163" s="3" t="s">
        <v>394</v>
      </c>
      <c r="I163" s="3" t="s">
        <v>465</v>
      </c>
      <c r="J163" s="9">
        <v>0</v>
      </c>
      <c r="K163" s="9">
        <v>0</v>
      </c>
      <c r="L163" s="9">
        <v>50</v>
      </c>
      <c r="M163" s="9">
        <v>0</v>
      </c>
      <c r="N163" s="9">
        <v>100</v>
      </c>
      <c r="O163" s="9">
        <v>80</v>
      </c>
      <c r="P163" s="9">
        <f t="shared" si="11"/>
        <v>0</v>
      </c>
      <c r="Q163" s="18">
        <v>0.56097560975609762</v>
      </c>
      <c r="R163" s="116">
        <v>4.5999999999999996</v>
      </c>
      <c r="S163" s="19" t="str">
        <f t="shared" si="9"/>
        <v>10343 (56%)</v>
      </c>
      <c r="T163" s="9">
        <f t="shared" si="10"/>
        <v>0</v>
      </c>
      <c r="U163" s="20" t="s">
        <v>1043</v>
      </c>
      <c r="V163" s="126" t="s">
        <v>1044</v>
      </c>
      <c r="W163" s="20" t="s">
        <v>1040</v>
      </c>
      <c r="X163" s="18">
        <v>0.80487804878048785</v>
      </c>
      <c r="Y163" s="18">
        <v>1.0508960846560855</v>
      </c>
      <c r="Z163" s="116">
        <v>4.92</v>
      </c>
      <c r="AA163" s="18"/>
      <c r="AB163" s="75"/>
    </row>
    <row r="164" spans="1:28">
      <c r="A164" s="6" t="s">
        <v>662</v>
      </c>
      <c r="B164" s="6" t="str">
        <f t="shared" si="8"/>
        <v>ShriBalaji AutoAgency Mysore Pvt. Ltd2168</v>
      </c>
      <c r="C164" s="6" t="s">
        <v>47</v>
      </c>
      <c r="D164" s="6" t="s">
        <v>163</v>
      </c>
      <c r="E164" s="5">
        <v>2168</v>
      </c>
      <c r="F164" s="3" t="s">
        <v>890</v>
      </c>
      <c r="G164" s="3" t="s">
        <v>993</v>
      </c>
      <c r="H164" s="3" t="s">
        <v>394</v>
      </c>
      <c r="I164" s="3" t="s">
        <v>465</v>
      </c>
      <c r="J164" s="9">
        <v>0</v>
      </c>
      <c r="K164" s="9">
        <v>0</v>
      </c>
      <c r="L164" s="9">
        <v>50</v>
      </c>
      <c r="M164" s="9">
        <v>0</v>
      </c>
      <c r="N164" s="9">
        <v>100</v>
      </c>
      <c r="O164" s="9">
        <v>80</v>
      </c>
      <c r="P164" s="9">
        <f t="shared" si="11"/>
        <v>0</v>
      </c>
      <c r="Q164" s="18">
        <v>0.24390243902439024</v>
      </c>
      <c r="R164" s="116">
        <v>4.5999999999999996</v>
      </c>
      <c r="S164" s="19" t="str">
        <f t="shared" si="9"/>
        <v>1034301A (24%)</v>
      </c>
      <c r="T164" s="9">
        <f t="shared" si="10"/>
        <v>0</v>
      </c>
      <c r="U164" s="20" t="s">
        <v>1043</v>
      </c>
      <c r="V164" s="126" t="s">
        <v>1045</v>
      </c>
      <c r="W164" s="20" t="s">
        <v>1055</v>
      </c>
      <c r="X164" s="18">
        <v>0.80487804878048785</v>
      </c>
      <c r="Y164" s="18" t="s">
        <v>1066</v>
      </c>
      <c r="Z164" s="116">
        <v>5</v>
      </c>
      <c r="AA164" s="18"/>
      <c r="AB164" s="75"/>
    </row>
    <row r="165" spans="1:28">
      <c r="A165" s="6" t="s">
        <v>1053</v>
      </c>
      <c r="B165" s="6" t="str">
        <f t="shared" si="8"/>
        <v>Unique Automobiles (Cars) Pvt. Ltd2855</v>
      </c>
      <c r="C165" s="6" t="s">
        <v>1052</v>
      </c>
      <c r="D165" s="5">
        <v>12026</v>
      </c>
      <c r="E165" s="5">
        <v>2855</v>
      </c>
      <c r="F165" s="3" t="s">
        <v>889</v>
      </c>
      <c r="G165" s="3" t="s">
        <v>395</v>
      </c>
      <c r="H165" s="3" t="s">
        <v>395</v>
      </c>
      <c r="I165" s="3" t="s">
        <v>467</v>
      </c>
      <c r="J165" s="9">
        <v>80</v>
      </c>
      <c r="K165" s="9">
        <v>100</v>
      </c>
      <c r="L165" s="9">
        <v>0</v>
      </c>
      <c r="M165" s="9">
        <v>0</v>
      </c>
      <c r="N165" s="9">
        <v>100</v>
      </c>
      <c r="O165" s="9">
        <v>80</v>
      </c>
      <c r="P165" s="9">
        <f t="shared" si="11"/>
        <v>0</v>
      </c>
      <c r="Q165" s="18">
        <v>0.61904761904761907</v>
      </c>
      <c r="R165" s="116">
        <v>4.7</v>
      </c>
      <c r="S165" s="19" t="str">
        <f t="shared" si="9"/>
        <v>12026 (62%)</v>
      </c>
      <c r="T165" s="9">
        <f t="shared" si="10"/>
        <v>0</v>
      </c>
      <c r="U165" s="20" t="s">
        <v>1043</v>
      </c>
      <c r="V165" s="126" t="s">
        <v>1044</v>
      </c>
      <c r="W165" s="20" t="s">
        <v>1041</v>
      </c>
      <c r="X165" s="18">
        <v>1.1904761904761905</v>
      </c>
      <c r="Y165" s="18">
        <v>0.62240915915915951</v>
      </c>
      <c r="Z165" s="116">
        <v>5</v>
      </c>
      <c r="AA165" s="18"/>
      <c r="AB165" s="75"/>
    </row>
    <row r="166" spans="1:28">
      <c r="A166" s="6" t="s">
        <v>1053</v>
      </c>
      <c r="B166" s="6" t="str">
        <f t="shared" si="8"/>
        <v>Unique Automobiles (Cars) Pvt. Ltd2855</v>
      </c>
      <c r="C166" s="6" t="s">
        <v>1052</v>
      </c>
      <c r="D166" s="6" t="s">
        <v>164</v>
      </c>
      <c r="E166" s="5">
        <v>2855</v>
      </c>
      <c r="F166" s="3" t="s">
        <v>889</v>
      </c>
      <c r="G166" s="3" t="s">
        <v>994</v>
      </c>
      <c r="H166" s="3" t="s">
        <v>396</v>
      </c>
      <c r="I166" s="3" t="s">
        <v>467</v>
      </c>
      <c r="J166" s="9">
        <v>80</v>
      </c>
      <c r="K166" s="9">
        <v>80</v>
      </c>
      <c r="L166" s="9">
        <v>0</v>
      </c>
      <c r="M166" s="9">
        <v>0</v>
      </c>
      <c r="N166" s="9">
        <v>100</v>
      </c>
      <c r="O166" s="9">
        <v>0</v>
      </c>
      <c r="P166" s="9">
        <f t="shared" si="11"/>
        <v>0</v>
      </c>
      <c r="Q166" s="18">
        <v>0.21428571428571427</v>
      </c>
      <c r="R166" s="116">
        <v>4.8</v>
      </c>
      <c r="S166" s="19" t="str">
        <f t="shared" si="9"/>
        <v>1002602C (21%)</v>
      </c>
      <c r="T166" s="9">
        <f t="shared" si="10"/>
        <v>0</v>
      </c>
      <c r="U166" s="20" t="s">
        <v>1043</v>
      </c>
      <c r="V166" s="126" t="s">
        <v>1044</v>
      </c>
      <c r="W166" s="20" t="s">
        <v>1057</v>
      </c>
      <c r="X166" s="18">
        <v>1.1904761904761905</v>
      </c>
      <c r="Y166" s="18">
        <v>0.62240915915915951</v>
      </c>
      <c r="Z166" s="116">
        <v>5</v>
      </c>
      <c r="AA166" s="18"/>
      <c r="AB166" s="75"/>
    </row>
    <row r="167" spans="1:28">
      <c r="A167" s="6" t="s">
        <v>1053</v>
      </c>
      <c r="B167" s="6" t="str">
        <f t="shared" si="8"/>
        <v>Unique Automobiles (Cars) Pvt. Ltd2855</v>
      </c>
      <c r="C167" s="6" t="s">
        <v>1052</v>
      </c>
      <c r="D167" s="6" t="s">
        <v>165</v>
      </c>
      <c r="E167" s="5">
        <v>2855</v>
      </c>
      <c r="F167" s="3" t="s">
        <v>889</v>
      </c>
      <c r="G167" s="3" t="s">
        <v>995</v>
      </c>
      <c r="H167" s="3" t="s">
        <v>397</v>
      </c>
      <c r="I167" s="3" t="s">
        <v>467</v>
      </c>
      <c r="J167" s="9">
        <v>100</v>
      </c>
      <c r="K167" s="9">
        <v>0</v>
      </c>
      <c r="L167" s="9">
        <v>0</v>
      </c>
      <c r="M167" s="9">
        <v>0</v>
      </c>
      <c r="N167" s="9">
        <v>100</v>
      </c>
      <c r="O167" s="9">
        <v>80</v>
      </c>
      <c r="P167" s="9">
        <f t="shared" si="11"/>
        <v>280</v>
      </c>
      <c r="Q167" s="18">
        <v>0.16666666666666666</v>
      </c>
      <c r="R167" s="116">
        <v>5</v>
      </c>
      <c r="S167" s="19" t="str">
        <f t="shared" si="9"/>
        <v>1002601A (17%)</v>
      </c>
      <c r="T167" s="9">
        <f t="shared" si="10"/>
        <v>47</v>
      </c>
      <c r="U167" s="20" t="s">
        <v>1043</v>
      </c>
      <c r="V167" s="126" t="s">
        <v>1045</v>
      </c>
      <c r="W167" s="20" t="s">
        <v>1055</v>
      </c>
      <c r="X167" s="18">
        <v>1.1904761904761905</v>
      </c>
      <c r="Y167" s="18" t="s">
        <v>1066</v>
      </c>
      <c r="Z167" s="116">
        <v>5</v>
      </c>
      <c r="AA167" s="18"/>
      <c r="AB167" s="75"/>
    </row>
    <row r="168" spans="1:28">
      <c r="A168" s="6" t="s">
        <v>668</v>
      </c>
      <c r="B168" s="6" t="str">
        <f t="shared" si="8"/>
        <v>Singhania Motors Pvt Ltd4077</v>
      </c>
      <c r="C168" s="6" t="s">
        <v>49</v>
      </c>
      <c r="D168" s="3">
        <v>10373</v>
      </c>
      <c r="E168" s="5">
        <v>4077</v>
      </c>
      <c r="F168" s="3" t="s">
        <v>890</v>
      </c>
      <c r="G168" s="3" t="s">
        <v>398</v>
      </c>
      <c r="H168" s="3" t="s">
        <v>399</v>
      </c>
      <c r="I168" s="3" t="s">
        <v>468</v>
      </c>
      <c r="J168" s="9">
        <v>100</v>
      </c>
      <c r="K168" s="9">
        <v>80</v>
      </c>
      <c r="L168" s="9">
        <v>0</v>
      </c>
      <c r="M168" s="9">
        <v>50</v>
      </c>
      <c r="N168" s="9">
        <v>0</v>
      </c>
      <c r="O168" s="9">
        <v>0</v>
      </c>
      <c r="P168" s="9">
        <f t="shared" si="11"/>
        <v>0</v>
      </c>
      <c r="Q168" s="18">
        <v>0.2638888888888889</v>
      </c>
      <c r="R168" s="116">
        <v>4.7</v>
      </c>
      <c r="S168" s="19" t="str">
        <f t="shared" si="9"/>
        <v>10373 (26%)</v>
      </c>
      <c r="T168" s="9">
        <f t="shared" si="10"/>
        <v>0</v>
      </c>
      <c r="U168" s="20" t="s">
        <v>1043</v>
      </c>
      <c r="V168" s="126" t="s">
        <v>1044</v>
      </c>
      <c r="W168" s="20" t="s">
        <v>1040</v>
      </c>
      <c r="X168" s="18">
        <v>1.1527777777777777</v>
      </c>
      <c r="Y168" s="18">
        <v>0.89017442352941212</v>
      </c>
      <c r="Z168" s="116">
        <v>4.42</v>
      </c>
      <c r="AA168" s="18"/>
      <c r="AB168" s="75"/>
    </row>
    <row r="169" spans="1:28">
      <c r="A169" s="6" t="s">
        <v>668</v>
      </c>
      <c r="B169" s="6" t="str">
        <f t="shared" si="8"/>
        <v>Singhania Motors Pvt Ltd4077</v>
      </c>
      <c r="C169" s="6" t="s">
        <v>49</v>
      </c>
      <c r="D169" s="5">
        <v>10372</v>
      </c>
      <c r="E169" s="5">
        <v>4077</v>
      </c>
      <c r="F169" s="3" t="s">
        <v>890</v>
      </c>
      <c r="G169" s="3" t="s">
        <v>400</v>
      </c>
      <c r="H169" s="3" t="s">
        <v>401</v>
      </c>
      <c r="I169" s="3" t="s">
        <v>468</v>
      </c>
      <c r="J169" s="9">
        <v>80</v>
      </c>
      <c r="K169" s="9">
        <v>100</v>
      </c>
      <c r="L169" s="9">
        <v>50</v>
      </c>
      <c r="M169" s="9">
        <v>0</v>
      </c>
      <c r="N169" s="9">
        <v>100</v>
      </c>
      <c r="O169" s="9">
        <v>0</v>
      </c>
      <c r="P169" s="9">
        <f t="shared" si="11"/>
        <v>0</v>
      </c>
      <c r="Q169" s="18">
        <v>0.4861111111111111</v>
      </c>
      <c r="R169" s="116">
        <v>4.7</v>
      </c>
      <c r="S169" s="19" t="str">
        <f t="shared" si="9"/>
        <v>10372 (49%)</v>
      </c>
      <c r="T169" s="9">
        <f t="shared" si="10"/>
        <v>0</v>
      </c>
      <c r="U169" s="20" t="s">
        <v>1043</v>
      </c>
      <c r="V169" s="126" t="s">
        <v>1044</v>
      </c>
      <c r="W169" s="20" t="s">
        <v>1040</v>
      </c>
      <c r="X169" s="18">
        <v>1.1527777777777777</v>
      </c>
      <c r="Y169" s="18">
        <v>0.89017442352941212</v>
      </c>
      <c r="Z169" s="116">
        <v>5</v>
      </c>
      <c r="AA169" s="18"/>
      <c r="AB169" s="75"/>
    </row>
    <row r="170" spans="1:28">
      <c r="A170" s="6" t="s">
        <v>668</v>
      </c>
      <c r="B170" s="6" t="str">
        <f t="shared" si="8"/>
        <v>Singhania Motors Pvt Ltd4077</v>
      </c>
      <c r="C170" s="6" t="s">
        <v>49</v>
      </c>
      <c r="D170" s="5" t="s">
        <v>166</v>
      </c>
      <c r="E170" s="5">
        <v>4077</v>
      </c>
      <c r="F170" s="3" t="s">
        <v>890</v>
      </c>
      <c r="G170" s="3" t="s">
        <v>996</v>
      </c>
      <c r="H170" s="3" t="s">
        <v>401</v>
      </c>
      <c r="I170" s="3" t="s">
        <v>468</v>
      </c>
      <c r="J170" s="9">
        <v>100</v>
      </c>
      <c r="K170" s="9">
        <v>100</v>
      </c>
      <c r="L170" s="9">
        <v>0</v>
      </c>
      <c r="M170" s="9">
        <v>0</v>
      </c>
      <c r="N170" s="9">
        <v>100</v>
      </c>
      <c r="O170" s="9">
        <v>0</v>
      </c>
      <c r="P170" s="9">
        <f t="shared" si="11"/>
        <v>300</v>
      </c>
      <c r="Q170" s="18">
        <v>0.25</v>
      </c>
      <c r="R170" s="116">
        <v>4.8</v>
      </c>
      <c r="S170" s="19" t="str">
        <f t="shared" si="9"/>
        <v>1037201A (25%)</v>
      </c>
      <c r="T170" s="9">
        <f t="shared" si="10"/>
        <v>75</v>
      </c>
      <c r="U170" s="20" t="s">
        <v>1043</v>
      </c>
      <c r="V170" s="126" t="s">
        <v>1045</v>
      </c>
      <c r="W170" s="20" t="s">
        <v>1055</v>
      </c>
      <c r="X170" s="18">
        <v>1.1527777777777777</v>
      </c>
      <c r="Y170" s="18" t="s">
        <v>1066</v>
      </c>
      <c r="Z170" s="116">
        <v>5</v>
      </c>
      <c r="AA170" s="18"/>
      <c r="AB170" s="75"/>
    </row>
    <row r="171" spans="1:28">
      <c r="A171" s="6" t="s">
        <v>669</v>
      </c>
      <c r="B171" s="6" t="str">
        <f t="shared" si="8"/>
        <v>Speed Automotive Pvt. Ltd.2427</v>
      </c>
      <c r="C171" s="6" t="s">
        <v>50</v>
      </c>
      <c r="D171" s="5">
        <v>10102</v>
      </c>
      <c r="E171" s="5">
        <v>2427</v>
      </c>
      <c r="F171" s="3" t="s">
        <v>889</v>
      </c>
      <c r="G171" s="3" t="s">
        <v>402</v>
      </c>
      <c r="H171" s="3" t="s">
        <v>403</v>
      </c>
      <c r="I171" s="3" t="s">
        <v>458</v>
      </c>
      <c r="J171" s="9">
        <v>0</v>
      </c>
      <c r="K171" s="9">
        <v>0</v>
      </c>
      <c r="L171" s="9">
        <v>50</v>
      </c>
      <c r="M171" s="9">
        <v>0</v>
      </c>
      <c r="N171" s="9">
        <v>80</v>
      </c>
      <c r="O171" s="9">
        <v>0</v>
      </c>
      <c r="P171" s="9">
        <f t="shared" si="11"/>
        <v>0</v>
      </c>
      <c r="Q171" s="18">
        <v>0.75</v>
      </c>
      <c r="R171" s="116">
        <v>4.0999999999999996</v>
      </c>
      <c r="S171" s="19" t="str">
        <f t="shared" si="9"/>
        <v>10102 (75%)</v>
      </c>
      <c r="T171" s="9">
        <f t="shared" si="10"/>
        <v>0</v>
      </c>
      <c r="U171" s="20" t="s">
        <v>1043</v>
      </c>
      <c r="V171" s="126" t="s">
        <v>1044</v>
      </c>
      <c r="W171" s="20" t="s">
        <v>1040</v>
      </c>
      <c r="X171" s="18">
        <v>0.23684210526315788</v>
      </c>
      <c r="Y171" s="18">
        <v>0.68410479151943437</v>
      </c>
      <c r="Z171" s="116">
        <v>4.83</v>
      </c>
      <c r="AA171" s="18"/>
      <c r="AB171" s="75"/>
    </row>
    <row r="172" spans="1:28">
      <c r="A172" s="6" t="s">
        <v>770</v>
      </c>
      <c r="B172" s="6" t="str">
        <f t="shared" si="8"/>
        <v>Speed Automotive Pvt. Ltd.2427</v>
      </c>
      <c r="C172" s="6" t="s">
        <v>50</v>
      </c>
      <c r="D172" s="3">
        <v>10375</v>
      </c>
      <c r="E172" s="5">
        <v>2427</v>
      </c>
      <c r="F172" s="3" t="s">
        <v>889</v>
      </c>
      <c r="G172" s="3" t="s">
        <v>404</v>
      </c>
      <c r="H172" s="3" t="s">
        <v>405</v>
      </c>
      <c r="I172" s="3" t="s">
        <v>458</v>
      </c>
      <c r="J172" s="9">
        <v>0</v>
      </c>
      <c r="K172" s="9">
        <v>0</v>
      </c>
      <c r="L172" s="9">
        <v>50</v>
      </c>
      <c r="M172" s="9">
        <v>0</v>
      </c>
      <c r="N172" s="9">
        <v>100</v>
      </c>
      <c r="O172" s="9">
        <v>0</v>
      </c>
      <c r="P172" s="9">
        <f t="shared" si="11"/>
        <v>0</v>
      </c>
      <c r="Q172" s="18">
        <v>0.25</v>
      </c>
      <c r="R172" s="116">
        <v>4.4000000000000004</v>
      </c>
      <c r="S172" s="19" t="str">
        <f t="shared" si="9"/>
        <v>10375 (25%)</v>
      </c>
      <c r="T172" s="9">
        <f t="shared" si="10"/>
        <v>0</v>
      </c>
      <c r="U172" s="20" t="s">
        <v>1043</v>
      </c>
      <c r="V172" s="126" t="s">
        <v>1044</v>
      </c>
      <c r="W172" s="20" t="s">
        <v>1040</v>
      </c>
      <c r="X172" s="18">
        <v>0.23684210526315788</v>
      </c>
      <c r="Y172" s="18">
        <v>0.68410479151943437</v>
      </c>
      <c r="Z172" s="116">
        <v>5</v>
      </c>
      <c r="AA172" s="18"/>
      <c r="AB172" s="75"/>
    </row>
    <row r="173" spans="1:28">
      <c r="A173" s="6" t="s">
        <v>670</v>
      </c>
      <c r="B173" s="6" t="str">
        <f t="shared" si="8"/>
        <v>Speedworks Auto Private Limited3225</v>
      </c>
      <c r="C173" s="6" t="s">
        <v>51</v>
      </c>
      <c r="D173" s="5">
        <v>10369</v>
      </c>
      <c r="E173" s="5">
        <v>3225</v>
      </c>
      <c r="F173" s="3" t="s">
        <v>890</v>
      </c>
      <c r="G173" s="3" t="s">
        <v>997</v>
      </c>
      <c r="H173" s="3" t="s">
        <v>406</v>
      </c>
      <c r="I173" s="3" t="s">
        <v>463</v>
      </c>
      <c r="J173" s="9">
        <v>100</v>
      </c>
      <c r="K173" s="9">
        <v>100</v>
      </c>
      <c r="L173" s="9">
        <v>50</v>
      </c>
      <c r="M173" s="9">
        <v>50</v>
      </c>
      <c r="N173" s="9">
        <v>100</v>
      </c>
      <c r="O173" s="9">
        <v>80</v>
      </c>
      <c r="P173" s="9">
        <f t="shared" si="11"/>
        <v>480</v>
      </c>
      <c r="Q173" s="18">
        <v>0.35922330097087379</v>
      </c>
      <c r="R173" s="116">
        <v>4.9000000000000004</v>
      </c>
      <c r="S173" s="19" t="str">
        <f t="shared" si="9"/>
        <v>10369 (36%)</v>
      </c>
      <c r="T173" s="9">
        <f t="shared" si="10"/>
        <v>172</v>
      </c>
      <c r="U173" s="20" t="s">
        <v>1043</v>
      </c>
      <c r="V173" s="126" t="s">
        <v>1044</v>
      </c>
      <c r="W173" s="20" t="s">
        <v>1041</v>
      </c>
      <c r="X173" s="18">
        <v>1.1654135338345866</v>
      </c>
      <c r="Y173" s="18">
        <v>1.0234260709570948</v>
      </c>
      <c r="Z173" s="116">
        <v>5</v>
      </c>
      <c r="AA173" s="18"/>
      <c r="AB173" s="75"/>
    </row>
    <row r="174" spans="1:28">
      <c r="A174" s="6" t="s">
        <v>670</v>
      </c>
      <c r="B174" s="6" t="str">
        <f t="shared" si="8"/>
        <v>Speedworks Auto Private Limited3225</v>
      </c>
      <c r="C174" s="6" t="s">
        <v>51</v>
      </c>
      <c r="D174" s="6" t="s">
        <v>167</v>
      </c>
      <c r="E174" s="5">
        <v>3225</v>
      </c>
      <c r="F174" s="3" t="s">
        <v>890</v>
      </c>
      <c r="G174" s="3" t="s">
        <v>998</v>
      </c>
      <c r="H174" s="3" t="s">
        <v>407</v>
      </c>
      <c r="I174" s="3" t="s">
        <v>463</v>
      </c>
      <c r="J174" s="9">
        <v>100</v>
      </c>
      <c r="K174" s="9">
        <v>100</v>
      </c>
      <c r="L174" s="9">
        <v>50</v>
      </c>
      <c r="M174" s="9">
        <v>50</v>
      </c>
      <c r="N174" s="9">
        <v>80</v>
      </c>
      <c r="O174" s="9">
        <v>0</v>
      </c>
      <c r="P174" s="9">
        <f t="shared" si="11"/>
        <v>380</v>
      </c>
      <c r="Q174" s="18">
        <v>0.34951456310679613</v>
      </c>
      <c r="R174" s="116">
        <v>4.9000000000000004</v>
      </c>
      <c r="S174" s="19" t="str">
        <f t="shared" si="9"/>
        <v>1036901A (35%)</v>
      </c>
      <c r="T174" s="9">
        <f t="shared" si="10"/>
        <v>133</v>
      </c>
      <c r="U174" s="20" t="s">
        <v>1043</v>
      </c>
      <c r="V174" s="126" t="s">
        <v>1044</v>
      </c>
      <c r="W174" s="20" t="s">
        <v>1056</v>
      </c>
      <c r="X174" s="18">
        <v>1.1654135338345866</v>
      </c>
      <c r="Y174" s="18">
        <v>1.0234260709570948</v>
      </c>
      <c r="Z174" s="116">
        <v>4.79</v>
      </c>
      <c r="AA174" s="18"/>
      <c r="AB174" s="75"/>
    </row>
    <row r="175" spans="1:28">
      <c r="A175" s="6" t="s">
        <v>671</v>
      </c>
      <c r="B175" s="6" t="str">
        <f t="shared" si="8"/>
        <v>SSB Automobiles Pvt Ltd2343</v>
      </c>
      <c r="C175" s="6" t="s">
        <v>52</v>
      </c>
      <c r="D175" s="6" t="s">
        <v>168</v>
      </c>
      <c r="E175" s="5">
        <v>2343</v>
      </c>
      <c r="F175" s="3" t="s">
        <v>890</v>
      </c>
      <c r="G175" s="3" t="s">
        <v>999</v>
      </c>
      <c r="H175" s="3" t="s">
        <v>408</v>
      </c>
      <c r="I175" s="3" t="s">
        <v>465</v>
      </c>
      <c r="J175" s="9">
        <v>80</v>
      </c>
      <c r="K175" s="9">
        <v>0</v>
      </c>
      <c r="L175" s="9">
        <v>0</v>
      </c>
      <c r="M175" s="9">
        <v>0</v>
      </c>
      <c r="N175" s="9">
        <v>80</v>
      </c>
      <c r="O175" s="9">
        <v>100</v>
      </c>
      <c r="P175" s="9">
        <f t="shared" si="11"/>
        <v>260</v>
      </c>
      <c r="Q175" s="18">
        <v>0.14432989690721648</v>
      </c>
      <c r="R175" s="116">
        <v>4.9000000000000004</v>
      </c>
      <c r="S175" s="19" t="str">
        <f t="shared" si="9"/>
        <v>1034601C (14%)</v>
      </c>
      <c r="T175" s="9">
        <f t="shared" si="10"/>
        <v>38</v>
      </c>
      <c r="U175" s="20" t="s">
        <v>1043</v>
      </c>
      <c r="V175" s="126" t="s">
        <v>1044</v>
      </c>
      <c r="W175" s="20" t="s">
        <v>1057</v>
      </c>
      <c r="X175" s="18">
        <v>1.1395348837209303</v>
      </c>
      <c r="Y175" s="18">
        <v>0.97705378694158118</v>
      </c>
      <c r="Z175" s="116">
        <v>4.75</v>
      </c>
      <c r="AA175" s="18"/>
      <c r="AB175" s="75"/>
    </row>
    <row r="176" spans="1:28">
      <c r="A176" s="6" t="s">
        <v>671</v>
      </c>
      <c r="B176" s="6" t="str">
        <f t="shared" si="8"/>
        <v>SSB Automobiles Pvt Ltd2343</v>
      </c>
      <c r="C176" s="6" t="s">
        <v>52</v>
      </c>
      <c r="D176" s="6" t="s">
        <v>169</v>
      </c>
      <c r="E176" s="5">
        <v>2343</v>
      </c>
      <c r="F176" s="3" t="s">
        <v>890</v>
      </c>
      <c r="G176" s="3" t="s">
        <v>1000</v>
      </c>
      <c r="H176" s="3" t="s">
        <v>409</v>
      </c>
      <c r="I176" s="3" t="s">
        <v>465</v>
      </c>
      <c r="J176" s="9">
        <v>0</v>
      </c>
      <c r="K176" s="9">
        <v>0</v>
      </c>
      <c r="L176" s="9">
        <v>0</v>
      </c>
      <c r="M176" s="9">
        <v>0</v>
      </c>
      <c r="N176" s="9">
        <v>100</v>
      </c>
      <c r="O176" s="9">
        <v>100</v>
      </c>
      <c r="P176" s="9">
        <f t="shared" si="11"/>
        <v>200</v>
      </c>
      <c r="Q176" s="18">
        <v>9.2783505154639179E-2</v>
      </c>
      <c r="R176" s="116">
        <v>4.8</v>
      </c>
      <c r="S176" s="19" t="str">
        <f t="shared" si="9"/>
        <v>1034602C (9%)</v>
      </c>
      <c r="T176" s="9">
        <f t="shared" si="10"/>
        <v>19</v>
      </c>
      <c r="U176" s="20" t="s">
        <v>1043</v>
      </c>
      <c r="V176" s="126" t="s">
        <v>1044</v>
      </c>
      <c r="W176" s="20" t="s">
        <v>1057</v>
      </c>
      <c r="X176" s="18">
        <v>1.1395348837209303</v>
      </c>
      <c r="Y176" s="18">
        <v>0.97705378694158118</v>
      </c>
      <c r="Z176" s="116">
        <v>5</v>
      </c>
      <c r="AA176" s="18"/>
      <c r="AB176" s="75"/>
    </row>
    <row r="177" spans="1:28">
      <c r="A177" s="6" t="s">
        <v>671</v>
      </c>
      <c r="B177" s="6" t="str">
        <f t="shared" si="8"/>
        <v>SSB Automobiles Pvt Ltd2343</v>
      </c>
      <c r="C177" s="6" t="s">
        <v>52</v>
      </c>
      <c r="D177" s="5" t="s">
        <v>170</v>
      </c>
      <c r="E177" s="5">
        <v>2343</v>
      </c>
      <c r="F177" s="3" t="s">
        <v>890</v>
      </c>
      <c r="G177" s="3" t="s">
        <v>410</v>
      </c>
      <c r="H177" s="3" t="s">
        <v>411</v>
      </c>
      <c r="I177" s="3" t="s">
        <v>465</v>
      </c>
      <c r="J177" s="9">
        <v>0</v>
      </c>
      <c r="K177" s="9">
        <v>0</v>
      </c>
      <c r="L177" s="9">
        <v>0</v>
      </c>
      <c r="M177" s="9">
        <v>0</v>
      </c>
      <c r="N177" s="9">
        <v>100</v>
      </c>
      <c r="O177" s="9">
        <v>0</v>
      </c>
      <c r="P177" s="9">
        <f t="shared" si="11"/>
        <v>100</v>
      </c>
      <c r="Q177" s="18">
        <v>9.2783505154639179E-2</v>
      </c>
      <c r="R177" s="116">
        <v>5</v>
      </c>
      <c r="S177" s="19" t="str">
        <f t="shared" si="9"/>
        <v>1034603A (9%)</v>
      </c>
      <c r="T177" s="9">
        <f t="shared" si="10"/>
        <v>9</v>
      </c>
      <c r="U177" s="20" t="s">
        <v>1043</v>
      </c>
      <c r="V177" s="126" t="s">
        <v>1045</v>
      </c>
      <c r="W177" s="20" t="s">
        <v>1055</v>
      </c>
      <c r="X177" s="18">
        <v>1.1395348837209303</v>
      </c>
      <c r="Y177" s="18" t="s">
        <v>1066</v>
      </c>
      <c r="Z177" s="116">
        <v>5</v>
      </c>
      <c r="AA177" s="18"/>
      <c r="AB177" s="75"/>
    </row>
    <row r="178" spans="1:28">
      <c r="A178" s="6" t="s">
        <v>671</v>
      </c>
      <c r="B178" s="6" t="str">
        <f t="shared" si="8"/>
        <v>SSB Automobiles Pvt Ltd2343</v>
      </c>
      <c r="C178" s="6" t="s">
        <v>52</v>
      </c>
      <c r="D178" s="5" t="s">
        <v>171</v>
      </c>
      <c r="E178" s="5">
        <v>2343</v>
      </c>
      <c r="F178" s="3" t="s">
        <v>890</v>
      </c>
      <c r="G178" s="3" t="s">
        <v>412</v>
      </c>
      <c r="H178" s="3" t="s">
        <v>413</v>
      </c>
      <c r="I178" s="3" t="s">
        <v>465</v>
      </c>
      <c r="J178" s="9">
        <v>0</v>
      </c>
      <c r="K178" s="9">
        <v>80</v>
      </c>
      <c r="L178" s="9">
        <v>0</v>
      </c>
      <c r="M178" s="9">
        <v>0</v>
      </c>
      <c r="N178" s="9">
        <v>80</v>
      </c>
      <c r="O178" s="9">
        <v>80</v>
      </c>
      <c r="P178" s="9">
        <f t="shared" si="11"/>
        <v>240</v>
      </c>
      <c r="Q178" s="18">
        <v>8.247422680412371E-2</v>
      </c>
      <c r="R178" s="116">
        <v>4.9000000000000004</v>
      </c>
      <c r="S178" s="19" t="str">
        <f t="shared" si="9"/>
        <v>1034604C (8%)</v>
      </c>
      <c r="T178" s="9">
        <f t="shared" si="10"/>
        <v>20</v>
      </c>
      <c r="U178" s="20" t="s">
        <v>1043</v>
      </c>
      <c r="V178" s="126" t="s">
        <v>1044</v>
      </c>
      <c r="W178" s="20" t="s">
        <v>1057</v>
      </c>
      <c r="X178" s="18">
        <v>1.1395348837209303</v>
      </c>
      <c r="Y178" s="18">
        <v>0.97705378694158118</v>
      </c>
      <c r="Z178" s="116">
        <v>4.67</v>
      </c>
      <c r="AA178" s="18"/>
      <c r="AB178" s="75"/>
    </row>
    <row r="179" spans="1:28">
      <c r="A179" s="6" t="s">
        <v>671</v>
      </c>
      <c r="B179" s="6" t="str">
        <f t="shared" si="8"/>
        <v>SSB Automobiles Pvt Ltd2343</v>
      </c>
      <c r="C179" s="6" t="s">
        <v>52</v>
      </c>
      <c r="D179" s="5">
        <v>10346</v>
      </c>
      <c r="E179" s="5">
        <v>2343</v>
      </c>
      <c r="F179" s="3" t="s">
        <v>890</v>
      </c>
      <c r="G179" s="3" t="s">
        <v>414</v>
      </c>
      <c r="H179" s="3" t="s">
        <v>411</v>
      </c>
      <c r="I179" s="3" t="s">
        <v>465</v>
      </c>
      <c r="J179" s="9">
        <v>100</v>
      </c>
      <c r="K179" s="9">
        <v>0</v>
      </c>
      <c r="L179" s="9">
        <v>0</v>
      </c>
      <c r="M179" s="9">
        <v>0</v>
      </c>
      <c r="N179" s="9">
        <v>100</v>
      </c>
      <c r="O179" s="9">
        <v>0</v>
      </c>
      <c r="P179" s="9">
        <f t="shared" si="11"/>
        <v>200</v>
      </c>
      <c r="Q179" s="18">
        <v>0.50515463917525771</v>
      </c>
      <c r="R179" s="116">
        <v>4.7</v>
      </c>
      <c r="S179" s="19" t="str">
        <f t="shared" si="9"/>
        <v>10346 (51%)</v>
      </c>
      <c r="T179" s="9">
        <f t="shared" si="10"/>
        <v>101</v>
      </c>
      <c r="U179" s="20" t="s">
        <v>1043</v>
      </c>
      <c r="V179" s="126" t="s">
        <v>1044</v>
      </c>
      <c r="W179" s="20" t="s">
        <v>1040</v>
      </c>
      <c r="X179" s="18">
        <v>1.1395348837209303</v>
      </c>
      <c r="Y179" s="18">
        <v>0.97705378694158118</v>
      </c>
      <c r="Z179" s="116">
        <v>5</v>
      </c>
      <c r="AA179" s="18"/>
      <c r="AB179" s="75"/>
    </row>
    <row r="180" spans="1:28">
      <c r="A180" s="6" t="s">
        <v>672</v>
      </c>
      <c r="B180" s="6" t="str">
        <f t="shared" si="8"/>
        <v>Stellar Autohaus Pvt ltd  2358</v>
      </c>
      <c r="C180" s="6" t="s">
        <v>53</v>
      </c>
      <c r="D180" s="5">
        <v>10316</v>
      </c>
      <c r="E180" s="5">
        <v>2358</v>
      </c>
      <c r="F180" s="3" t="s">
        <v>889</v>
      </c>
      <c r="G180" s="3" t="s">
        <v>415</v>
      </c>
      <c r="H180" s="3" t="s">
        <v>238</v>
      </c>
      <c r="I180" s="3" t="s">
        <v>467</v>
      </c>
      <c r="J180" s="9">
        <v>100</v>
      </c>
      <c r="K180" s="9">
        <v>0</v>
      </c>
      <c r="L180" s="9">
        <v>40</v>
      </c>
      <c r="M180" s="9">
        <v>0</v>
      </c>
      <c r="N180" s="9">
        <v>80</v>
      </c>
      <c r="O180" s="9">
        <v>0</v>
      </c>
      <c r="P180" s="9">
        <f t="shared" si="11"/>
        <v>0</v>
      </c>
      <c r="Q180" s="18">
        <v>0.26359832635983266</v>
      </c>
      <c r="R180" s="116">
        <v>4.5999999999999996</v>
      </c>
      <c r="S180" s="19" t="str">
        <f t="shared" si="9"/>
        <v>10316 (26%)</v>
      </c>
      <c r="T180" s="9">
        <f t="shared" si="10"/>
        <v>0</v>
      </c>
      <c r="U180" s="20" t="s">
        <v>1043</v>
      </c>
      <c r="V180" s="126" t="s">
        <v>1044</v>
      </c>
      <c r="W180" s="20" t="s">
        <v>1041</v>
      </c>
      <c r="X180" s="18">
        <v>0.96595744680851059</v>
      </c>
      <c r="Y180" s="18">
        <v>1.0630671856221343</v>
      </c>
      <c r="Z180" s="116">
        <v>4.68</v>
      </c>
      <c r="AA180" s="18"/>
      <c r="AB180" s="75"/>
    </row>
    <row r="181" spans="1:28">
      <c r="A181" s="6" t="s">
        <v>672</v>
      </c>
      <c r="B181" s="6" t="str">
        <f t="shared" si="8"/>
        <v>Stellar Autohaus Pvt ltd  2358</v>
      </c>
      <c r="C181" s="6" t="s">
        <v>53</v>
      </c>
      <c r="D181" s="5">
        <v>10333</v>
      </c>
      <c r="E181" s="5">
        <v>2358</v>
      </c>
      <c r="F181" s="3" t="s">
        <v>889</v>
      </c>
      <c r="G181" s="3" t="s">
        <v>1001</v>
      </c>
      <c r="H181" s="3" t="s">
        <v>352</v>
      </c>
      <c r="I181" s="3" t="s">
        <v>467</v>
      </c>
      <c r="J181" s="9">
        <v>80</v>
      </c>
      <c r="K181" s="9">
        <v>80</v>
      </c>
      <c r="L181" s="9">
        <v>40</v>
      </c>
      <c r="M181" s="9">
        <v>50</v>
      </c>
      <c r="N181" s="9">
        <v>100</v>
      </c>
      <c r="O181" s="9">
        <v>0</v>
      </c>
      <c r="P181" s="9">
        <f t="shared" si="11"/>
        <v>350</v>
      </c>
      <c r="Q181" s="18">
        <v>0.15899581589958159</v>
      </c>
      <c r="R181" s="116">
        <v>4.7</v>
      </c>
      <c r="S181" s="19" t="str">
        <f t="shared" si="9"/>
        <v>10333 (16%)</v>
      </c>
      <c r="T181" s="9">
        <f t="shared" si="10"/>
        <v>56</v>
      </c>
      <c r="U181" s="20" t="s">
        <v>1043</v>
      </c>
      <c r="V181" s="126" t="s">
        <v>1044</v>
      </c>
      <c r="W181" s="20" t="s">
        <v>1041</v>
      </c>
      <c r="X181" s="18">
        <v>0.96595744680851059</v>
      </c>
      <c r="Y181" s="18">
        <v>1.0630671856221343</v>
      </c>
      <c r="Z181" s="116">
        <v>4.91</v>
      </c>
      <c r="AA181" s="18"/>
      <c r="AB181" s="75"/>
    </row>
    <row r="182" spans="1:28">
      <c r="A182" s="6" t="s">
        <v>672</v>
      </c>
      <c r="B182" s="6" t="str">
        <f t="shared" si="8"/>
        <v>Stellar Autohaus Pvt ltd  2358</v>
      </c>
      <c r="C182" s="6" t="s">
        <v>53</v>
      </c>
      <c r="D182" s="5">
        <v>10323</v>
      </c>
      <c r="E182" s="5">
        <v>2358</v>
      </c>
      <c r="F182" s="3" t="s">
        <v>889</v>
      </c>
      <c r="G182" s="3" t="s">
        <v>416</v>
      </c>
      <c r="H182" s="3" t="s">
        <v>417</v>
      </c>
      <c r="I182" s="3" t="s">
        <v>467</v>
      </c>
      <c r="J182" s="9">
        <v>80</v>
      </c>
      <c r="K182" s="9">
        <v>100</v>
      </c>
      <c r="L182" s="9">
        <v>40</v>
      </c>
      <c r="M182" s="9">
        <v>50</v>
      </c>
      <c r="N182" s="9">
        <v>80</v>
      </c>
      <c r="O182" s="9">
        <v>0</v>
      </c>
      <c r="P182" s="9">
        <f t="shared" si="11"/>
        <v>0</v>
      </c>
      <c r="Q182" s="18">
        <v>0.13807531380753138</v>
      </c>
      <c r="R182" s="116">
        <v>4.5999999999999996</v>
      </c>
      <c r="S182" s="19" t="str">
        <f t="shared" si="9"/>
        <v>10323 (14%)</v>
      </c>
      <c r="T182" s="9">
        <f t="shared" si="10"/>
        <v>0</v>
      </c>
      <c r="U182" s="20" t="s">
        <v>1043</v>
      </c>
      <c r="V182" s="126" t="s">
        <v>1044</v>
      </c>
      <c r="W182" s="20" t="s">
        <v>1041</v>
      </c>
      <c r="X182" s="18">
        <v>0.96595744680851059</v>
      </c>
      <c r="Y182" s="18">
        <v>1.0630671856221343</v>
      </c>
      <c r="Z182" s="116">
        <v>4.8099999999999996</v>
      </c>
      <c r="AA182" s="18"/>
      <c r="AB182" s="75"/>
    </row>
    <row r="183" spans="1:28">
      <c r="A183" s="6" t="s">
        <v>672</v>
      </c>
      <c r="B183" s="6" t="str">
        <f t="shared" ref="B183:B215" si="12">_xlfn.CONCAT(C183,E183)</f>
        <v>Stellar Autohaus Pvt ltd  2358</v>
      </c>
      <c r="C183" s="6" t="s">
        <v>53</v>
      </c>
      <c r="D183" s="6" t="s">
        <v>172</v>
      </c>
      <c r="E183" s="5">
        <v>2358</v>
      </c>
      <c r="F183" s="3" t="s">
        <v>889</v>
      </c>
      <c r="G183" s="3" t="s">
        <v>418</v>
      </c>
      <c r="H183" s="3" t="s">
        <v>419</v>
      </c>
      <c r="I183" s="3" t="s">
        <v>467</v>
      </c>
      <c r="J183" s="9">
        <v>100</v>
      </c>
      <c r="K183" s="9">
        <v>0</v>
      </c>
      <c r="L183" s="9">
        <v>40</v>
      </c>
      <c r="M183" s="9">
        <v>0</v>
      </c>
      <c r="N183" s="9">
        <v>100</v>
      </c>
      <c r="O183" s="9">
        <v>0</v>
      </c>
      <c r="P183" s="9">
        <f t="shared" si="11"/>
        <v>240</v>
      </c>
      <c r="Q183" s="18">
        <v>3.7656903765690378E-2</v>
      </c>
      <c r="R183" s="116">
        <v>4.9000000000000004</v>
      </c>
      <c r="S183" s="19" t="str">
        <f t="shared" ref="S183:S229" si="13">_xlfn.CONCAT(D183," (",TEXT(Q183,"0%"),")")</f>
        <v>2031601C (4%)</v>
      </c>
      <c r="T183" s="9">
        <f t="shared" si="10"/>
        <v>9</v>
      </c>
      <c r="U183" s="20" t="s">
        <v>1043</v>
      </c>
      <c r="V183" s="126" t="s">
        <v>1044</v>
      </c>
      <c r="W183" s="20" t="s">
        <v>1057</v>
      </c>
      <c r="X183" s="18">
        <v>0.96595744680851059</v>
      </c>
      <c r="Y183" s="18">
        <v>1.0630671856221343</v>
      </c>
      <c r="Z183" s="116">
        <v>5</v>
      </c>
      <c r="AA183" s="18"/>
      <c r="AB183" s="75"/>
    </row>
    <row r="184" spans="1:28">
      <c r="A184" s="6" t="s">
        <v>672</v>
      </c>
      <c r="B184" s="6" t="str">
        <f t="shared" si="12"/>
        <v>Stellar Autohaus Pvt ltd  2358</v>
      </c>
      <c r="C184" s="6" t="s">
        <v>53</v>
      </c>
      <c r="D184" s="6" t="s">
        <v>173</v>
      </c>
      <c r="E184" s="5">
        <v>2358</v>
      </c>
      <c r="F184" s="3" t="s">
        <v>889</v>
      </c>
      <c r="G184" s="3" t="s">
        <v>420</v>
      </c>
      <c r="H184" s="3" t="s">
        <v>238</v>
      </c>
      <c r="I184" s="3" t="s">
        <v>467</v>
      </c>
      <c r="J184" s="9">
        <v>100</v>
      </c>
      <c r="K184" s="9">
        <v>80</v>
      </c>
      <c r="L184" s="9">
        <v>40</v>
      </c>
      <c r="M184" s="9">
        <v>0</v>
      </c>
      <c r="N184" s="9">
        <v>80</v>
      </c>
      <c r="O184" s="9">
        <v>0</v>
      </c>
      <c r="P184" s="9">
        <f t="shared" si="11"/>
        <v>300</v>
      </c>
      <c r="Q184" s="18">
        <v>0.1297071129707113</v>
      </c>
      <c r="R184" s="116">
        <v>4.8</v>
      </c>
      <c r="S184" s="19" t="str">
        <f t="shared" si="13"/>
        <v>1031602A (13%)</v>
      </c>
      <c r="T184" s="9">
        <f t="shared" si="10"/>
        <v>39</v>
      </c>
      <c r="U184" s="20" t="s">
        <v>1043</v>
      </c>
      <c r="V184" s="126" t="s">
        <v>1045</v>
      </c>
      <c r="W184" s="20" t="s">
        <v>1055</v>
      </c>
      <c r="X184" s="18">
        <v>0.96595744680851059</v>
      </c>
      <c r="Y184" s="18" t="s">
        <v>1066</v>
      </c>
      <c r="Z184" s="116">
        <v>4.7300000000000004</v>
      </c>
      <c r="AA184" s="18"/>
      <c r="AB184" s="75"/>
    </row>
    <row r="185" spans="1:28">
      <c r="A185" s="6" t="s">
        <v>672</v>
      </c>
      <c r="B185" s="6" t="str">
        <f t="shared" si="12"/>
        <v>Stellar Autohaus Pvt ltd  2358</v>
      </c>
      <c r="C185" s="6" t="s">
        <v>53</v>
      </c>
      <c r="D185" s="6" t="s">
        <v>174</v>
      </c>
      <c r="E185" s="5">
        <v>2358</v>
      </c>
      <c r="F185" s="3" t="s">
        <v>889</v>
      </c>
      <c r="G185" s="3" t="s">
        <v>1002</v>
      </c>
      <c r="H185" s="3" t="s">
        <v>421</v>
      </c>
      <c r="I185" s="3" t="s">
        <v>467</v>
      </c>
      <c r="J185" s="9">
        <v>100</v>
      </c>
      <c r="K185" s="9">
        <v>100</v>
      </c>
      <c r="L185" s="9">
        <v>40</v>
      </c>
      <c r="M185" s="9">
        <v>0</v>
      </c>
      <c r="N185" s="9">
        <v>100</v>
      </c>
      <c r="O185" s="9">
        <v>0</v>
      </c>
      <c r="P185" s="9">
        <f t="shared" si="11"/>
        <v>340</v>
      </c>
      <c r="Q185" s="18">
        <v>3.7656903765690378E-2</v>
      </c>
      <c r="R185" s="116">
        <v>5</v>
      </c>
      <c r="S185" s="19" t="str">
        <f t="shared" si="13"/>
        <v>2031603C (4%)</v>
      </c>
      <c r="T185" s="9">
        <f t="shared" si="10"/>
        <v>13</v>
      </c>
      <c r="U185" s="20" t="s">
        <v>1043</v>
      </c>
      <c r="V185" s="126" t="s">
        <v>1044</v>
      </c>
      <c r="W185" s="20" t="s">
        <v>1057</v>
      </c>
      <c r="X185" s="18">
        <v>0.96595744680851059</v>
      </c>
      <c r="Y185" s="18">
        <v>1.0630671856221343</v>
      </c>
      <c r="Z185" s="116">
        <v>5</v>
      </c>
      <c r="AA185" s="18"/>
      <c r="AB185" s="75"/>
    </row>
    <row r="186" spans="1:28">
      <c r="A186" s="6" t="s">
        <v>672</v>
      </c>
      <c r="B186" s="6" t="str">
        <f t="shared" si="12"/>
        <v>Stellar Autohaus Pvt ltd  2358</v>
      </c>
      <c r="C186" s="6" t="s">
        <v>53</v>
      </c>
      <c r="D186" s="6" t="s">
        <v>175</v>
      </c>
      <c r="E186" s="5">
        <v>2358</v>
      </c>
      <c r="F186" s="3" t="s">
        <v>889</v>
      </c>
      <c r="G186" s="3" t="s">
        <v>422</v>
      </c>
      <c r="H186" s="3" t="s">
        <v>423</v>
      </c>
      <c r="I186" s="3" t="s">
        <v>467</v>
      </c>
      <c r="J186" s="9">
        <v>0</v>
      </c>
      <c r="K186" s="9">
        <v>0</v>
      </c>
      <c r="L186" s="9">
        <v>40</v>
      </c>
      <c r="M186" s="9">
        <v>50</v>
      </c>
      <c r="N186" s="9">
        <v>80</v>
      </c>
      <c r="O186" s="9">
        <v>0</v>
      </c>
      <c r="P186" s="9">
        <f t="shared" si="11"/>
        <v>170</v>
      </c>
      <c r="Q186" s="18">
        <v>3.7656903765690378E-2</v>
      </c>
      <c r="R186" s="116">
        <v>4.9000000000000004</v>
      </c>
      <c r="S186" s="19" t="str">
        <f t="shared" si="13"/>
        <v>2033301C (4%)</v>
      </c>
      <c r="T186" s="9">
        <f t="shared" si="10"/>
        <v>6</v>
      </c>
      <c r="U186" s="20" t="s">
        <v>1043</v>
      </c>
      <c r="V186" s="126" t="s">
        <v>1044</v>
      </c>
      <c r="W186" s="20" t="s">
        <v>1057</v>
      </c>
      <c r="X186" s="18">
        <v>0.96595744680851059</v>
      </c>
      <c r="Y186" s="18">
        <v>1.0630671856221343</v>
      </c>
      <c r="Z186" s="116">
        <v>4.67</v>
      </c>
      <c r="AA186" s="18"/>
      <c r="AB186" s="75"/>
    </row>
    <row r="187" spans="1:28">
      <c r="A187" s="6" t="s">
        <v>672</v>
      </c>
      <c r="B187" s="6" t="str">
        <f t="shared" si="12"/>
        <v>Stellar Autohaus Pvt ltd  2358</v>
      </c>
      <c r="C187" s="6" t="s">
        <v>53</v>
      </c>
      <c r="D187" s="6" t="s">
        <v>176</v>
      </c>
      <c r="E187" s="5">
        <v>2358</v>
      </c>
      <c r="F187" s="3" t="s">
        <v>889</v>
      </c>
      <c r="G187" s="3" t="s">
        <v>1003</v>
      </c>
      <c r="H187" s="3" t="s">
        <v>417</v>
      </c>
      <c r="I187" s="3" t="s">
        <v>467</v>
      </c>
      <c r="J187" s="9">
        <v>100</v>
      </c>
      <c r="K187" s="9">
        <v>80</v>
      </c>
      <c r="L187" s="9">
        <v>40</v>
      </c>
      <c r="M187" s="9">
        <v>50</v>
      </c>
      <c r="N187" s="9">
        <v>80</v>
      </c>
      <c r="O187" s="9">
        <v>0</v>
      </c>
      <c r="P187" s="9">
        <f t="shared" si="11"/>
        <v>350</v>
      </c>
      <c r="Q187" s="18">
        <v>7.5313807531380755E-2</v>
      </c>
      <c r="R187" s="116">
        <v>4.8</v>
      </c>
      <c r="S187" s="19" t="str">
        <f t="shared" si="13"/>
        <v>2032301C (8%)</v>
      </c>
      <c r="T187" s="9">
        <f t="shared" si="10"/>
        <v>26</v>
      </c>
      <c r="U187" s="20" t="s">
        <v>1043</v>
      </c>
      <c r="V187" s="126" t="s">
        <v>1044</v>
      </c>
      <c r="W187" s="20" t="s">
        <v>1057</v>
      </c>
      <c r="X187" s="18">
        <v>0.96595744680851059</v>
      </c>
      <c r="Y187" s="18">
        <v>1.0630671856221343</v>
      </c>
      <c r="Z187" s="116">
        <v>4.7</v>
      </c>
      <c r="AA187" s="18"/>
      <c r="AB187" s="75"/>
    </row>
    <row r="188" spans="1:28">
      <c r="A188" s="6" t="s">
        <v>672</v>
      </c>
      <c r="B188" s="6" t="str">
        <f t="shared" si="12"/>
        <v>Stellar Autohaus Pvt ltd  2358</v>
      </c>
      <c r="C188" s="6" t="s">
        <v>53</v>
      </c>
      <c r="D188" s="6" t="s">
        <v>177</v>
      </c>
      <c r="E188" s="5">
        <v>2358</v>
      </c>
      <c r="F188" s="3" t="s">
        <v>889</v>
      </c>
      <c r="G188" s="3" t="s">
        <v>1004</v>
      </c>
      <c r="H188" s="3" t="s">
        <v>424</v>
      </c>
      <c r="I188" s="3" t="s">
        <v>467</v>
      </c>
      <c r="J188" s="9">
        <v>100</v>
      </c>
      <c r="K188" s="9">
        <v>0</v>
      </c>
      <c r="L188" s="9">
        <v>40</v>
      </c>
      <c r="M188" s="9">
        <v>50</v>
      </c>
      <c r="N188" s="9">
        <v>100</v>
      </c>
      <c r="O188" s="9">
        <v>0</v>
      </c>
      <c r="P188" s="9">
        <f t="shared" si="11"/>
        <v>290</v>
      </c>
      <c r="Q188" s="18">
        <v>3.3472803347280332E-2</v>
      </c>
      <c r="R188" s="116">
        <v>4.9000000000000004</v>
      </c>
      <c r="S188" s="19" t="str">
        <f t="shared" si="13"/>
        <v>2032302C (3%)</v>
      </c>
      <c r="T188" s="9">
        <f t="shared" si="10"/>
        <v>10</v>
      </c>
      <c r="U188" s="20" t="s">
        <v>1043</v>
      </c>
      <c r="V188" s="126" t="s">
        <v>1044</v>
      </c>
      <c r="W188" s="20" t="s">
        <v>1057</v>
      </c>
      <c r="X188" s="18">
        <v>0.96595744680851059</v>
      </c>
      <c r="Y188" s="18">
        <v>1.0630671856221343</v>
      </c>
      <c r="Z188" s="116">
        <v>4.8600000000000003</v>
      </c>
      <c r="AA188" s="18"/>
      <c r="AB188" s="75"/>
    </row>
    <row r="189" spans="1:28">
      <c r="A189" s="6" t="s">
        <v>672</v>
      </c>
      <c r="B189" s="6" t="str">
        <f t="shared" si="12"/>
        <v>Stellar Autohaus Pvt ltd  2358</v>
      </c>
      <c r="C189" s="6" t="s">
        <v>53</v>
      </c>
      <c r="D189" s="6" t="s">
        <v>178</v>
      </c>
      <c r="E189" s="5">
        <v>2358</v>
      </c>
      <c r="F189" s="3" t="s">
        <v>889</v>
      </c>
      <c r="G189" s="3" t="s">
        <v>1005</v>
      </c>
      <c r="H189" s="3" t="s">
        <v>352</v>
      </c>
      <c r="I189" s="3" t="s">
        <v>467</v>
      </c>
      <c r="J189" s="9">
        <v>100</v>
      </c>
      <c r="K189" s="9">
        <v>0</v>
      </c>
      <c r="L189" s="9">
        <v>40</v>
      </c>
      <c r="M189" s="9">
        <v>50</v>
      </c>
      <c r="N189" s="9">
        <v>100</v>
      </c>
      <c r="O189" s="9">
        <v>0</v>
      </c>
      <c r="P189" s="9">
        <f t="shared" si="11"/>
        <v>290</v>
      </c>
      <c r="Q189" s="18">
        <v>3.7656903765690378E-2</v>
      </c>
      <c r="R189" s="116">
        <v>4.8</v>
      </c>
      <c r="S189" s="19" t="str">
        <f t="shared" si="13"/>
        <v>1033301A (4%)</v>
      </c>
      <c r="T189" s="9">
        <f t="shared" si="10"/>
        <v>11</v>
      </c>
      <c r="U189" s="20" t="s">
        <v>1043</v>
      </c>
      <c r="V189" s="126" t="s">
        <v>1045</v>
      </c>
      <c r="W189" s="20" t="s">
        <v>1055</v>
      </c>
      <c r="X189" s="18">
        <v>0.96595744680851059</v>
      </c>
      <c r="Y189" s="18" t="s">
        <v>1066</v>
      </c>
      <c r="Z189" s="116">
        <v>5</v>
      </c>
      <c r="AA189" s="18"/>
      <c r="AB189" s="75"/>
    </row>
    <row r="190" spans="1:28">
      <c r="A190" s="6" t="s">
        <v>673</v>
      </c>
      <c r="B190" s="6" t="str">
        <f t="shared" si="12"/>
        <v>SV Autowheels LLP 2785</v>
      </c>
      <c r="C190" s="6" t="s">
        <v>54</v>
      </c>
      <c r="D190" s="3">
        <v>10353</v>
      </c>
      <c r="E190" s="5">
        <v>2785</v>
      </c>
      <c r="F190" s="3" t="s">
        <v>890</v>
      </c>
      <c r="G190" s="3" t="s">
        <v>1006</v>
      </c>
      <c r="H190" s="3" t="s">
        <v>425</v>
      </c>
      <c r="I190" s="3" t="s">
        <v>468</v>
      </c>
      <c r="J190" s="9">
        <v>100</v>
      </c>
      <c r="K190" s="9">
        <v>80</v>
      </c>
      <c r="L190" s="9">
        <v>50</v>
      </c>
      <c r="M190" s="9">
        <v>0</v>
      </c>
      <c r="N190" s="9">
        <v>100</v>
      </c>
      <c r="O190" s="9">
        <v>0</v>
      </c>
      <c r="P190" s="9">
        <f t="shared" si="11"/>
        <v>0</v>
      </c>
      <c r="Q190" s="18">
        <v>0.43</v>
      </c>
      <c r="R190" s="116">
        <v>4.8</v>
      </c>
      <c r="S190" s="19" t="str">
        <f t="shared" si="13"/>
        <v>10353 (43%)</v>
      </c>
      <c r="T190" s="9">
        <f t="shared" si="10"/>
        <v>0</v>
      </c>
      <c r="U190" s="20" t="s">
        <v>1043</v>
      </c>
      <c r="V190" s="126" t="s">
        <v>1044</v>
      </c>
      <c r="W190" s="20" t="s">
        <v>1041</v>
      </c>
      <c r="X190" s="18">
        <v>0.6953125</v>
      </c>
      <c r="Y190" s="18">
        <v>1.1981894709677425</v>
      </c>
      <c r="Z190" s="116">
        <v>5</v>
      </c>
      <c r="AA190" s="18"/>
      <c r="AB190" s="75"/>
    </row>
    <row r="191" spans="1:28">
      <c r="A191" s="6" t="s">
        <v>673</v>
      </c>
      <c r="B191" s="6" t="str">
        <f t="shared" si="12"/>
        <v>SV Autowheels LLP 2785</v>
      </c>
      <c r="C191" s="6" t="s">
        <v>54</v>
      </c>
      <c r="D191" s="6" t="s">
        <v>179</v>
      </c>
      <c r="E191" s="5">
        <v>2785</v>
      </c>
      <c r="F191" s="3" t="s">
        <v>890</v>
      </c>
      <c r="G191" s="3" t="s">
        <v>1007</v>
      </c>
      <c r="H191" s="3" t="s">
        <v>425</v>
      </c>
      <c r="I191" s="3" t="s">
        <v>468</v>
      </c>
      <c r="J191" s="9">
        <v>80</v>
      </c>
      <c r="K191" s="9">
        <v>0</v>
      </c>
      <c r="L191" s="9">
        <v>50</v>
      </c>
      <c r="M191" s="9">
        <v>0</v>
      </c>
      <c r="N191" s="9">
        <v>80</v>
      </c>
      <c r="O191" s="9">
        <v>0</v>
      </c>
      <c r="P191" s="9">
        <f t="shared" si="11"/>
        <v>0</v>
      </c>
      <c r="Q191" s="18">
        <v>0.24</v>
      </c>
      <c r="R191" s="116">
        <v>4.8</v>
      </c>
      <c r="S191" s="19" t="str">
        <f t="shared" si="13"/>
        <v>1035301A (24%)</v>
      </c>
      <c r="T191" s="9">
        <f t="shared" ref="T191:T241" si="14">ROUND((P191*Q191),0)</f>
        <v>0</v>
      </c>
      <c r="U191" s="20" t="s">
        <v>1043</v>
      </c>
      <c r="V191" s="126" t="s">
        <v>1045</v>
      </c>
      <c r="W191" s="20" t="s">
        <v>1055</v>
      </c>
      <c r="X191" s="18">
        <v>0.6953125</v>
      </c>
      <c r="Y191" s="18" t="s">
        <v>1066</v>
      </c>
      <c r="Z191" s="116">
        <v>4.83</v>
      </c>
      <c r="AA191" s="18"/>
      <c r="AB191" s="75"/>
    </row>
    <row r="192" spans="1:28">
      <c r="A192" s="6" t="s">
        <v>673</v>
      </c>
      <c r="B192" s="6" t="str">
        <f t="shared" si="12"/>
        <v>SV Autowheels LLP 2785</v>
      </c>
      <c r="C192" s="6" t="s">
        <v>54</v>
      </c>
      <c r="D192" s="6" t="s">
        <v>180</v>
      </c>
      <c r="E192" s="5">
        <v>2785</v>
      </c>
      <c r="F192" s="3" t="s">
        <v>890</v>
      </c>
      <c r="G192" s="3" t="s">
        <v>1008</v>
      </c>
      <c r="H192" s="3" t="s">
        <v>426</v>
      </c>
      <c r="I192" s="3" t="s">
        <v>468</v>
      </c>
      <c r="J192" s="9">
        <v>80</v>
      </c>
      <c r="K192" s="9">
        <v>0</v>
      </c>
      <c r="L192" s="9">
        <v>50</v>
      </c>
      <c r="M192" s="9">
        <v>0</v>
      </c>
      <c r="N192" s="9">
        <v>100</v>
      </c>
      <c r="O192" s="9">
        <v>0</v>
      </c>
      <c r="P192" s="9">
        <f t="shared" si="11"/>
        <v>0</v>
      </c>
      <c r="Q192" s="18">
        <v>0.1</v>
      </c>
      <c r="R192" s="116">
        <v>4.9000000000000004</v>
      </c>
      <c r="S192" s="19" t="str">
        <f t="shared" si="13"/>
        <v>2035303C (10%)</v>
      </c>
      <c r="T192" s="9">
        <f t="shared" si="14"/>
        <v>0</v>
      </c>
      <c r="U192" s="20" t="s">
        <v>1043</v>
      </c>
      <c r="V192" s="126" t="s">
        <v>1044</v>
      </c>
      <c r="W192" s="20" t="s">
        <v>1057</v>
      </c>
      <c r="X192" s="18">
        <v>0.6953125</v>
      </c>
      <c r="Y192" s="18">
        <v>1.1981894709677425</v>
      </c>
      <c r="Z192" s="116">
        <v>5</v>
      </c>
      <c r="AA192" s="18"/>
      <c r="AB192" s="75"/>
    </row>
    <row r="193" spans="1:28">
      <c r="A193" s="6" t="s">
        <v>673</v>
      </c>
      <c r="B193" s="6" t="str">
        <f t="shared" si="12"/>
        <v>SV Autowheels LLP 2785</v>
      </c>
      <c r="C193" s="6" t="s">
        <v>54</v>
      </c>
      <c r="D193" s="6" t="s">
        <v>181</v>
      </c>
      <c r="E193" s="5">
        <v>2785</v>
      </c>
      <c r="F193" s="3" t="s">
        <v>890</v>
      </c>
      <c r="G193" s="3" t="s">
        <v>427</v>
      </c>
      <c r="H193" s="3" t="s">
        <v>428</v>
      </c>
      <c r="I193" s="3" t="s">
        <v>468</v>
      </c>
      <c r="J193" s="9">
        <v>100</v>
      </c>
      <c r="K193" s="9">
        <v>80</v>
      </c>
      <c r="L193" s="9">
        <v>50</v>
      </c>
      <c r="M193" s="9">
        <v>0</v>
      </c>
      <c r="N193" s="9">
        <v>80</v>
      </c>
      <c r="O193" s="9">
        <v>80</v>
      </c>
      <c r="P193" s="9">
        <f t="shared" si="11"/>
        <v>0</v>
      </c>
      <c r="Q193" s="18">
        <v>0.14000000000000001</v>
      </c>
      <c r="R193" s="116">
        <v>4.9000000000000004</v>
      </c>
      <c r="S193" s="19" t="str">
        <f t="shared" si="13"/>
        <v>2035302C (14%)</v>
      </c>
      <c r="T193" s="9">
        <f t="shared" si="14"/>
        <v>0</v>
      </c>
      <c r="U193" s="20" t="s">
        <v>1043</v>
      </c>
      <c r="V193" s="126" t="s">
        <v>1044</v>
      </c>
      <c r="W193" s="20" t="s">
        <v>1057</v>
      </c>
      <c r="X193" s="18">
        <v>0.6953125</v>
      </c>
      <c r="Y193" s="18">
        <v>1.1981894709677425</v>
      </c>
      <c r="Z193" s="116">
        <v>4.5999999999999996</v>
      </c>
      <c r="AA193" s="18"/>
      <c r="AB193" s="75"/>
    </row>
    <row r="194" spans="1:28">
      <c r="A194" s="6" t="s">
        <v>673</v>
      </c>
      <c r="B194" s="6" t="str">
        <f t="shared" si="12"/>
        <v>SV Autowheels LLP 2785</v>
      </c>
      <c r="C194" s="6" t="s">
        <v>54</v>
      </c>
      <c r="D194" s="6" t="s">
        <v>182</v>
      </c>
      <c r="E194" s="5">
        <v>2785</v>
      </c>
      <c r="F194" s="3" t="s">
        <v>890</v>
      </c>
      <c r="G194" s="3" t="s">
        <v>1009</v>
      </c>
      <c r="H194" s="3" t="s">
        <v>429</v>
      </c>
      <c r="I194" s="3" t="s">
        <v>468</v>
      </c>
      <c r="J194" s="9">
        <v>100</v>
      </c>
      <c r="K194" s="9">
        <v>0</v>
      </c>
      <c r="L194" s="9">
        <v>50</v>
      </c>
      <c r="M194" s="9">
        <v>0</v>
      </c>
      <c r="N194" s="9">
        <v>100</v>
      </c>
      <c r="O194" s="9">
        <v>0</v>
      </c>
      <c r="P194" s="9">
        <f t="shared" si="11"/>
        <v>0</v>
      </c>
      <c r="Q194" s="18">
        <v>0.09</v>
      </c>
      <c r="R194" s="116">
        <v>4.9000000000000004</v>
      </c>
      <c r="S194" s="19" t="str">
        <f t="shared" si="13"/>
        <v>2035304C (9%)</v>
      </c>
      <c r="T194" s="9">
        <f t="shared" si="14"/>
        <v>0</v>
      </c>
      <c r="U194" s="20" t="s">
        <v>1043</v>
      </c>
      <c r="V194" s="126" t="s">
        <v>1044</v>
      </c>
      <c r="W194" s="20" t="s">
        <v>1057</v>
      </c>
      <c r="X194" s="18">
        <v>0.6953125</v>
      </c>
      <c r="Y194" s="18">
        <v>1.1981894709677425</v>
      </c>
      <c r="Z194" s="116">
        <v>5</v>
      </c>
      <c r="AA194" s="18"/>
      <c r="AB194" s="75"/>
    </row>
    <row r="195" spans="1:28">
      <c r="A195" s="6" t="s">
        <v>674</v>
      </c>
      <c r="B195" s="6" t="str">
        <f t="shared" si="12"/>
        <v>Tafe Access Limited 2347</v>
      </c>
      <c r="C195" s="6" t="s">
        <v>55</v>
      </c>
      <c r="D195" s="5">
        <v>10192</v>
      </c>
      <c r="E195" s="5">
        <v>2347</v>
      </c>
      <c r="F195" s="3" t="s">
        <v>890</v>
      </c>
      <c r="G195" s="3" t="s">
        <v>1010</v>
      </c>
      <c r="H195" s="3" t="s">
        <v>357</v>
      </c>
      <c r="I195" s="3" t="s">
        <v>459</v>
      </c>
      <c r="J195" s="9">
        <v>100</v>
      </c>
      <c r="K195" s="9">
        <v>100</v>
      </c>
      <c r="L195" s="9">
        <v>50</v>
      </c>
      <c r="M195" s="9">
        <v>0</v>
      </c>
      <c r="N195" s="9">
        <v>80</v>
      </c>
      <c r="O195" s="9">
        <v>80</v>
      </c>
      <c r="P195" s="9">
        <f t="shared" si="11"/>
        <v>0</v>
      </c>
      <c r="Q195" s="18">
        <v>0.22346368715083798</v>
      </c>
      <c r="R195" s="116">
        <v>4.4000000000000004</v>
      </c>
      <c r="S195" s="19" t="str">
        <f t="shared" si="13"/>
        <v>10192 (22%)</v>
      </c>
      <c r="T195" s="9">
        <f t="shared" si="14"/>
        <v>0</v>
      </c>
      <c r="U195" s="20" t="s">
        <v>1043</v>
      </c>
      <c r="V195" s="126" t="s">
        <v>1045</v>
      </c>
      <c r="W195" s="20" t="s">
        <v>1059</v>
      </c>
      <c r="X195" s="18">
        <v>1.096938775510204</v>
      </c>
      <c r="Y195" s="18" t="s">
        <v>1066</v>
      </c>
      <c r="Z195" s="116">
        <v>4.75</v>
      </c>
      <c r="AA195" s="18"/>
      <c r="AB195" s="75"/>
    </row>
    <row r="196" spans="1:28">
      <c r="A196" s="6" t="s">
        <v>674</v>
      </c>
      <c r="B196" s="6" t="str">
        <f t="shared" si="12"/>
        <v>Tafe Access Limited 2347</v>
      </c>
      <c r="C196" s="6" t="s">
        <v>55</v>
      </c>
      <c r="D196" s="5">
        <v>10021</v>
      </c>
      <c r="E196" s="5">
        <v>2347</v>
      </c>
      <c r="F196" s="3" t="s">
        <v>890</v>
      </c>
      <c r="G196" s="3" t="s">
        <v>1011</v>
      </c>
      <c r="H196" s="3" t="s">
        <v>357</v>
      </c>
      <c r="I196" s="3" t="s">
        <v>459</v>
      </c>
      <c r="J196" s="9">
        <v>100</v>
      </c>
      <c r="K196" s="9">
        <v>100</v>
      </c>
      <c r="L196" s="9">
        <v>50</v>
      </c>
      <c r="M196" s="9">
        <v>50</v>
      </c>
      <c r="N196" s="9">
        <v>100</v>
      </c>
      <c r="O196" s="9">
        <v>0</v>
      </c>
      <c r="P196" s="9">
        <f t="shared" ref="P196:P259" si="15">IF(AND(V196="3S",OR(X196&lt;0.895,Z196&lt;4.595,R196&lt;4.695,Y196&lt;0.895)),0,IF(AND(V196="1S",OR(X196&lt;0.895,Z196&lt;4.595,R196&lt;4.695)),0,SUM(J196:O196)))</f>
        <v>400</v>
      </c>
      <c r="Q196" s="18">
        <v>0.34078212290502791</v>
      </c>
      <c r="R196" s="116">
        <v>4.7</v>
      </c>
      <c r="S196" s="19" t="str">
        <f t="shared" si="13"/>
        <v>10021 (34%)</v>
      </c>
      <c r="T196" s="9">
        <f t="shared" si="14"/>
        <v>136</v>
      </c>
      <c r="U196" s="20" t="s">
        <v>1043</v>
      </c>
      <c r="V196" s="126" t="s">
        <v>1044</v>
      </c>
      <c r="W196" s="20" t="s">
        <v>1041</v>
      </c>
      <c r="X196" s="18">
        <v>1.096938775510204</v>
      </c>
      <c r="Y196" s="18">
        <v>1.1180657861178362</v>
      </c>
      <c r="Z196" s="116">
        <v>4.92</v>
      </c>
      <c r="AA196" s="18"/>
      <c r="AB196" s="75"/>
    </row>
    <row r="197" spans="1:28">
      <c r="A197" s="6" t="s">
        <v>674</v>
      </c>
      <c r="B197" s="6" t="str">
        <f t="shared" si="12"/>
        <v>Tafe Access Limited 2347</v>
      </c>
      <c r="C197" s="6" t="s">
        <v>55</v>
      </c>
      <c r="D197" s="5">
        <v>21021</v>
      </c>
      <c r="E197" s="5">
        <v>2347</v>
      </c>
      <c r="F197" s="3" t="s">
        <v>890</v>
      </c>
      <c r="G197" s="3" t="s">
        <v>430</v>
      </c>
      <c r="H197" s="3" t="s">
        <v>430</v>
      </c>
      <c r="I197" s="3" t="s">
        <v>459</v>
      </c>
      <c r="J197" s="9">
        <v>100</v>
      </c>
      <c r="K197" s="9">
        <v>100</v>
      </c>
      <c r="L197" s="9">
        <v>50</v>
      </c>
      <c r="M197" s="9">
        <v>50</v>
      </c>
      <c r="N197" s="9">
        <v>100</v>
      </c>
      <c r="O197" s="9">
        <v>80</v>
      </c>
      <c r="P197" s="9">
        <f t="shared" si="15"/>
        <v>480</v>
      </c>
      <c r="Q197" s="18">
        <v>0.1005586592178771</v>
      </c>
      <c r="R197" s="116">
        <v>4.7</v>
      </c>
      <c r="S197" s="19" t="str">
        <f t="shared" si="13"/>
        <v>21021 (10%)</v>
      </c>
      <c r="T197" s="9">
        <f t="shared" si="14"/>
        <v>48</v>
      </c>
      <c r="U197" s="20" t="s">
        <v>1043</v>
      </c>
      <c r="V197" s="126" t="s">
        <v>1044</v>
      </c>
      <c r="W197" s="20" t="s">
        <v>1041</v>
      </c>
      <c r="X197" s="18">
        <v>1.096938775510204</v>
      </c>
      <c r="Y197" s="18">
        <v>1.1180657861178362</v>
      </c>
      <c r="Z197" s="116">
        <v>5</v>
      </c>
      <c r="AA197" s="18"/>
      <c r="AB197" s="75"/>
    </row>
    <row r="198" spans="1:28">
      <c r="A198" s="6" t="s">
        <v>674</v>
      </c>
      <c r="B198" s="6" t="str">
        <f t="shared" si="12"/>
        <v>Tafe Access Limited 2347</v>
      </c>
      <c r="C198" s="6" t="s">
        <v>55</v>
      </c>
      <c r="D198" s="6" t="s">
        <v>183</v>
      </c>
      <c r="E198" s="5">
        <v>2347</v>
      </c>
      <c r="F198" s="3" t="s">
        <v>890</v>
      </c>
      <c r="G198" s="3" t="s">
        <v>431</v>
      </c>
      <c r="H198" s="3" t="s">
        <v>357</v>
      </c>
      <c r="I198" s="3" t="s">
        <v>459</v>
      </c>
      <c r="J198" s="9">
        <v>80</v>
      </c>
      <c r="K198" s="9">
        <v>100</v>
      </c>
      <c r="L198" s="9">
        <v>50</v>
      </c>
      <c r="M198" s="9">
        <v>0</v>
      </c>
      <c r="N198" s="9">
        <v>80</v>
      </c>
      <c r="O198" s="9">
        <v>80</v>
      </c>
      <c r="P198" s="9">
        <f t="shared" si="15"/>
        <v>390</v>
      </c>
      <c r="Q198" s="18">
        <v>0.15083798882681565</v>
      </c>
      <c r="R198" s="116">
        <v>4.7</v>
      </c>
      <c r="S198" s="19" t="str">
        <f t="shared" si="13"/>
        <v>1019202A (15%)</v>
      </c>
      <c r="T198" s="9">
        <f t="shared" si="14"/>
        <v>59</v>
      </c>
      <c r="U198" s="20" t="s">
        <v>1043</v>
      </c>
      <c r="V198" s="126" t="s">
        <v>1045</v>
      </c>
      <c r="W198" s="20" t="s">
        <v>1055</v>
      </c>
      <c r="X198" s="18">
        <v>1.096938775510204</v>
      </c>
      <c r="Y198" s="18" t="s">
        <v>1066</v>
      </c>
      <c r="Z198" s="116">
        <v>4.79</v>
      </c>
      <c r="AA198" s="18"/>
      <c r="AB198" s="75"/>
    </row>
    <row r="199" spans="1:28">
      <c r="A199" s="6" t="s">
        <v>674</v>
      </c>
      <c r="B199" s="6" t="str">
        <f t="shared" si="12"/>
        <v>Tafe Access Limited 2347</v>
      </c>
      <c r="C199" s="6" t="s">
        <v>55</v>
      </c>
      <c r="D199" s="5" t="s">
        <v>184</v>
      </c>
      <c r="E199" s="5">
        <v>2347</v>
      </c>
      <c r="F199" s="3" t="s">
        <v>890</v>
      </c>
      <c r="G199" s="3" t="s">
        <v>432</v>
      </c>
      <c r="H199" s="3" t="s">
        <v>433</v>
      </c>
      <c r="I199" s="3" t="s">
        <v>459</v>
      </c>
      <c r="J199" s="9">
        <v>80</v>
      </c>
      <c r="K199" s="9">
        <v>100</v>
      </c>
      <c r="L199" s="9">
        <v>50</v>
      </c>
      <c r="M199" s="9">
        <v>50</v>
      </c>
      <c r="N199" s="9">
        <v>100</v>
      </c>
      <c r="O199" s="9">
        <v>80</v>
      </c>
      <c r="P199" s="9">
        <f t="shared" si="15"/>
        <v>460</v>
      </c>
      <c r="Q199" s="18">
        <v>0.1005586592178771</v>
      </c>
      <c r="R199" s="116">
        <v>4.8</v>
      </c>
      <c r="S199" s="19" t="str">
        <f t="shared" si="13"/>
        <v>2302101C (10%)</v>
      </c>
      <c r="T199" s="9">
        <f t="shared" si="14"/>
        <v>46</v>
      </c>
      <c r="U199" s="20" t="s">
        <v>1043</v>
      </c>
      <c r="V199" s="126" t="s">
        <v>1044</v>
      </c>
      <c r="W199" s="20" t="s">
        <v>1057</v>
      </c>
      <c r="X199" s="18">
        <v>1.096938775510204</v>
      </c>
      <c r="Y199" s="18">
        <v>1.1180657861178362</v>
      </c>
      <c r="Z199" s="116">
        <v>4.9000000000000004</v>
      </c>
      <c r="AA199" s="18"/>
      <c r="AB199" s="75"/>
    </row>
    <row r="200" spans="1:28">
      <c r="A200" s="6" t="s">
        <v>674</v>
      </c>
      <c r="B200" s="6" t="str">
        <f t="shared" si="12"/>
        <v>Tafe Access Limited 2347</v>
      </c>
      <c r="C200" s="6" t="s">
        <v>55</v>
      </c>
      <c r="D200" s="6" t="s">
        <v>185</v>
      </c>
      <c r="E200" s="5">
        <v>2347</v>
      </c>
      <c r="F200" s="3" t="s">
        <v>890</v>
      </c>
      <c r="G200" s="3" t="s">
        <v>1012</v>
      </c>
      <c r="H200" s="3" t="s">
        <v>434</v>
      </c>
      <c r="I200" s="3" t="s">
        <v>459</v>
      </c>
      <c r="J200" s="9">
        <v>100</v>
      </c>
      <c r="K200" s="9">
        <v>0</v>
      </c>
      <c r="L200" s="9">
        <v>50</v>
      </c>
      <c r="M200" s="9">
        <v>50</v>
      </c>
      <c r="N200" s="9">
        <v>100</v>
      </c>
      <c r="O200" s="9">
        <v>0</v>
      </c>
      <c r="P200" s="9">
        <f t="shared" si="15"/>
        <v>300</v>
      </c>
      <c r="Q200" s="18">
        <v>8.3798882681564241E-2</v>
      </c>
      <c r="R200" s="116">
        <v>4.9000000000000004</v>
      </c>
      <c r="S200" s="19" t="str">
        <f t="shared" si="13"/>
        <v>2102102A (8%)</v>
      </c>
      <c r="T200" s="9">
        <f t="shared" si="14"/>
        <v>25</v>
      </c>
      <c r="U200" s="20" t="s">
        <v>1043</v>
      </c>
      <c r="V200" s="126" t="s">
        <v>1044</v>
      </c>
      <c r="W200" s="20" t="s">
        <v>1056</v>
      </c>
      <c r="X200" s="18">
        <v>1.096938775510204</v>
      </c>
      <c r="Y200" s="18">
        <v>1.1180657861178362</v>
      </c>
      <c r="Z200" s="116">
        <v>5</v>
      </c>
      <c r="AA200" s="18"/>
      <c r="AB200" s="75"/>
    </row>
    <row r="201" spans="1:28">
      <c r="A201" s="6" t="s">
        <v>675</v>
      </c>
      <c r="B201" s="6" t="str">
        <f t="shared" si="12"/>
        <v>United Wheels1996</v>
      </c>
      <c r="C201" s="6" t="s">
        <v>56</v>
      </c>
      <c r="D201" s="118">
        <v>10394</v>
      </c>
      <c r="E201" s="5">
        <v>1996</v>
      </c>
      <c r="F201" s="3" t="s">
        <v>889</v>
      </c>
      <c r="G201" s="3" t="s">
        <v>1013</v>
      </c>
      <c r="H201" s="3" t="s">
        <v>435</v>
      </c>
      <c r="I201" s="3" t="s">
        <v>464</v>
      </c>
      <c r="J201" s="9">
        <v>100</v>
      </c>
      <c r="K201" s="9">
        <v>100</v>
      </c>
      <c r="L201" s="9">
        <v>50</v>
      </c>
      <c r="M201" s="9">
        <v>50</v>
      </c>
      <c r="N201" s="9">
        <v>80</v>
      </c>
      <c r="O201" s="9">
        <v>0</v>
      </c>
      <c r="P201" s="9">
        <f t="shared" si="15"/>
        <v>380</v>
      </c>
      <c r="Q201" s="18">
        <v>0.6785714285714286</v>
      </c>
      <c r="R201" s="116">
        <v>4.8</v>
      </c>
      <c r="S201" s="19" t="str">
        <f t="shared" si="13"/>
        <v>10394 (68%)</v>
      </c>
      <c r="T201" s="9">
        <f t="shared" si="14"/>
        <v>258</v>
      </c>
      <c r="U201" s="20" t="s">
        <v>1043</v>
      </c>
      <c r="V201" s="126" t="s">
        <v>1044</v>
      </c>
      <c r="W201" s="20" t="s">
        <v>1040</v>
      </c>
      <c r="X201" s="18">
        <v>0.95833333333333337</v>
      </c>
      <c r="Y201" s="18">
        <v>1.4305060769230775</v>
      </c>
      <c r="Z201" s="116">
        <v>4.5999999999999996</v>
      </c>
      <c r="AA201" s="18"/>
      <c r="AB201" s="75"/>
    </row>
    <row r="202" spans="1:28">
      <c r="A202" s="6" t="s">
        <v>676</v>
      </c>
      <c r="B202" s="6" t="str">
        <f t="shared" si="12"/>
        <v>Utsav India Cars LLP3902</v>
      </c>
      <c r="C202" s="6" t="s">
        <v>57</v>
      </c>
      <c r="D202" s="5">
        <v>10396</v>
      </c>
      <c r="E202" s="5">
        <v>3902</v>
      </c>
      <c r="F202" s="3" t="s">
        <v>889</v>
      </c>
      <c r="G202" s="3" t="s">
        <v>1014</v>
      </c>
      <c r="H202" s="3" t="s">
        <v>436</v>
      </c>
      <c r="I202" s="3" t="s">
        <v>460</v>
      </c>
      <c r="J202" s="9">
        <v>80</v>
      </c>
      <c r="K202" s="9">
        <v>0</v>
      </c>
      <c r="L202" s="9">
        <v>0</v>
      </c>
      <c r="M202" s="9">
        <v>0</v>
      </c>
      <c r="N202" s="9">
        <v>100</v>
      </c>
      <c r="O202" s="9">
        <v>80</v>
      </c>
      <c r="P202" s="9">
        <f t="shared" si="15"/>
        <v>260</v>
      </c>
      <c r="Q202" s="18">
        <v>1</v>
      </c>
      <c r="R202" s="116">
        <v>4.9000000000000004</v>
      </c>
      <c r="S202" s="19" t="str">
        <f t="shared" si="13"/>
        <v>10396 (100%)</v>
      </c>
      <c r="T202" s="9">
        <f t="shared" si="14"/>
        <v>260</v>
      </c>
      <c r="U202" s="20" t="s">
        <v>1043</v>
      </c>
      <c r="V202" s="126" t="s">
        <v>1044</v>
      </c>
      <c r="W202" s="20" t="s">
        <v>1041</v>
      </c>
      <c r="X202" s="18">
        <v>1.0588235294117647</v>
      </c>
      <c r="Y202" s="18">
        <v>1.2879249135135138</v>
      </c>
      <c r="Z202" s="116">
        <v>5</v>
      </c>
      <c r="AA202" s="18"/>
      <c r="AB202" s="75"/>
    </row>
    <row r="203" spans="1:28" ht="22.8">
      <c r="A203" s="6" t="s">
        <v>759</v>
      </c>
      <c r="B203" s="6" t="str">
        <f t="shared" si="12"/>
        <v>Wheelocity Motors Pvt Ltd + Elysian Automobile Pvt. Ltd.3850</v>
      </c>
      <c r="C203" s="29" t="s">
        <v>758</v>
      </c>
      <c r="D203" s="5">
        <v>10292</v>
      </c>
      <c r="E203" s="5">
        <v>3850</v>
      </c>
      <c r="F203" s="3" t="s">
        <v>889</v>
      </c>
      <c r="G203" s="3" t="s">
        <v>1015</v>
      </c>
      <c r="H203" s="3" t="s">
        <v>437</v>
      </c>
      <c r="I203" s="3" t="s">
        <v>461</v>
      </c>
      <c r="J203" s="9">
        <v>0</v>
      </c>
      <c r="K203" s="9">
        <v>80</v>
      </c>
      <c r="L203" s="9">
        <v>50</v>
      </c>
      <c r="M203" s="9">
        <v>50</v>
      </c>
      <c r="N203" s="9">
        <v>80</v>
      </c>
      <c r="O203" s="9">
        <v>0</v>
      </c>
      <c r="P203" s="9">
        <f t="shared" si="15"/>
        <v>0</v>
      </c>
      <c r="Q203" s="18">
        <v>0.68571428571428572</v>
      </c>
      <c r="R203" s="116">
        <v>4.7</v>
      </c>
      <c r="S203" s="19" t="str">
        <f t="shared" si="13"/>
        <v>10292 (69%)</v>
      </c>
      <c r="T203" s="9">
        <f t="shared" si="14"/>
        <v>0</v>
      </c>
      <c r="U203" s="20" t="s">
        <v>1043</v>
      </c>
      <c r="V203" s="126" t="s">
        <v>1044</v>
      </c>
      <c r="W203" s="20" t="s">
        <v>1041</v>
      </c>
      <c r="X203" s="18">
        <v>0.58333333333333337</v>
      </c>
      <c r="Y203" s="18">
        <v>1.0194171124260358</v>
      </c>
      <c r="Z203" s="116">
        <v>4.82</v>
      </c>
      <c r="AA203" s="18"/>
      <c r="AB203" s="75"/>
    </row>
    <row r="204" spans="1:28">
      <c r="A204" s="6" t="s">
        <v>624</v>
      </c>
      <c r="B204" s="6" t="str">
        <f t="shared" si="12"/>
        <v>Empreo Allied Pvt. Ltd.1419</v>
      </c>
      <c r="C204" s="6" t="s">
        <v>68</v>
      </c>
      <c r="D204" s="6">
        <v>10400</v>
      </c>
      <c r="E204" s="5">
        <v>1419</v>
      </c>
      <c r="F204" s="3" t="s">
        <v>890</v>
      </c>
      <c r="G204" s="3" t="s">
        <v>438</v>
      </c>
      <c r="H204" s="3" t="s">
        <v>203</v>
      </c>
      <c r="I204" s="3" t="s">
        <v>459</v>
      </c>
      <c r="J204" s="9">
        <v>0</v>
      </c>
      <c r="K204" s="9">
        <v>100</v>
      </c>
      <c r="L204" s="9">
        <v>0</v>
      </c>
      <c r="M204" s="9">
        <v>50</v>
      </c>
      <c r="N204" s="9">
        <v>100</v>
      </c>
      <c r="O204" s="9">
        <v>80</v>
      </c>
      <c r="P204" s="9">
        <f t="shared" si="15"/>
        <v>0</v>
      </c>
      <c r="Q204" s="18">
        <v>1</v>
      </c>
      <c r="R204" s="116">
        <v>4.8</v>
      </c>
      <c r="S204" s="19" t="str">
        <f t="shared" si="13"/>
        <v>10400 (100%)</v>
      </c>
      <c r="T204" s="9">
        <f t="shared" si="14"/>
        <v>0</v>
      </c>
      <c r="U204" s="20" t="s">
        <v>1043</v>
      </c>
      <c r="V204" s="126" t="s">
        <v>1044</v>
      </c>
      <c r="W204" s="20" t="s">
        <v>1041</v>
      </c>
      <c r="X204" s="18">
        <v>1.1230769230769231</v>
      </c>
      <c r="Y204" s="18">
        <v>0.68553813207547165</v>
      </c>
      <c r="Z204" s="116">
        <v>4.91</v>
      </c>
      <c r="AA204" s="18"/>
      <c r="AB204" s="75"/>
    </row>
    <row r="205" spans="1:28">
      <c r="A205" s="6" t="s">
        <v>675</v>
      </c>
      <c r="B205" s="6" t="str">
        <f t="shared" si="12"/>
        <v>United Wheels1996</v>
      </c>
      <c r="C205" s="6" t="s">
        <v>56</v>
      </c>
      <c r="D205" s="6" t="s">
        <v>186</v>
      </c>
      <c r="E205" s="5">
        <v>1996</v>
      </c>
      <c r="F205" s="3" t="s">
        <v>889</v>
      </c>
      <c r="G205" s="3" t="s">
        <v>439</v>
      </c>
      <c r="H205" s="3" t="s">
        <v>440</v>
      </c>
      <c r="I205" s="3" t="s">
        <v>464</v>
      </c>
      <c r="J205" s="9">
        <v>0</v>
      </c>
      <c r="K205" s="9">
        <v>80</v>
      </c>
      <c r="L205" s="9">
        <v>50</v>
      </c>
      <c r="M205" s="9">
        <v>50</v>
      </c>
      <c r="N205" s="9">
        <v>80</v>
      </c>
      <c r="O205" s="9">
        <v>0</v>
      </c>
      <c r="P205" s="9">
        <f t="shared" si="15"/>
        <v>260</v>
      </c>
      <c r="Q205" s="18">
        <v>0.32142857142857145</v>
      </c>
      <c r="R205" s="116">
        <v>4.8</v>
      </c>
      <c r="S205" s="19" t="str">
        <f t="shared" si="13"/>
        <v>1039401C (32%)</v>
      </c>
      <c r="T205" s="9">
        <f t="shared" si="14"/>
        <v>84</v>
      </c>
      <c r="U205" s="20" t="s">
        <v>1043</v>
      </c>
      <c r="V205" s="126" t="s">
        <v>1045</v>
      </c>
      <c r="W205" s="20" t="s">
        <v>1055</v>
      </c>
      <c r="X205" s="18">
        <v>0.95833333333333337</v>
      </c>
      <c r="Y205" s="18" t="s">
        <v>1066</v>
      </c>
      <c r="Z205" s="116">
        <v>4.5999999999999996</v>
      </c>
      <c r="AA205" s="18"/>
      <c r="AB205" s="75"/>
    </row>
    <row r="206" spans="1:28">
      <c r="A206" s="6" t="s">
        <v>617</v>
      </c>
      <c r="B206" s="6" t="str">
        <f t="shared" si="12"/>
        <v>Berk Autozone LLP1221</v>
      </c>
      <c r="C206" s="6" t="s">
        <v>7</v>
      </c>
      <c r="D206" s="6">
        <v>10398</v>
      </c>
      <c r="E206" s="5">
        <v>1221</v>
      </c>
      <c r="F206" s="3" t="s">
        <v>889</v>
      </c>
      <c r="G206" s="3" t="s">
        <v>1016</v>
      </c>
      <c r="H206" s="3" t="s">
        <v>1017</v>
      </c>
      <c r="I206" s="3" t="s">
        <v>461</v>
      </c>
      <c r="J206" s="9">
        <v>100</v>
      </c>
      <c r="K206" s="9">
        <v>100</v>
      </c>
      <c r="L206" s="9">
        <v>0</v>
      </c>
      <c r="M206" s="9">
        <v>0</v>
      </c>
      <c r="N206" s="9">
        <v>80</v>
      </c>
      <c r="O206" s="9">
        <v>0</v>
      </c>
      <c r="P206" s="9">
        <f t="shared" si="15"/>
        <v>280</v>
      </c>
      <c r="Q206" s="18">
        <v>0.48979591836734693</v>
      </c>
      <c r="R206" s="116">
        <v>4.8</v>
      </c>
      <c r="S206" s="19" t="str">
        <f t="shared" si="13"/>
        <v>10398 (49%)</v>
      </c>
      <c r="T206" s="9">
        <f t="shared" si="14"/>
        <v>137</v>
      </c>
      <c r="U206" s="20" t="s">
        <v>1043</v>
      </c>
      <c r="V206" s="126" t="s">
        <v>1045</v>
      </c>
      <c r="W206" s="20" t="s">
        <v>1059</v>
      </c>
      <c r="X206" s="18">
        <v>0.95652173913043481</v>
      </c>
      <c r="Y206" s="18" t="s">
        <v>1066</v>
      </c>
      <c r="Z206" s="116">
        <v>4.7</v>
      </c>
      <c r="AA206" s="18"/>
      <c r="AB206" s="75"/>
    </row>
    <row r="207" spans="1:28">
      <c r="A207" s="6" t="s">
        <v>657</v>
      </c>
      <c r="B207" s="6" t="str">
        <f t="shared" si="12"/>
        <v>Saisha Motors Pvt Ltd1987</v>
      </c>
      <c r="C207" s="6" t="s">
        <v>40</v>
      </c>
      <c r="D207" s="6" t="s">
        <v>187</v>
      </c>
      <c r="E207" s="5">
        <v>1987</v>
      </c>
      <c r="F207" s="3" t="s">
        <v>889</v>
      </c>
      <c r="G207" s="3" t="s">
        <v>443</v>
      </c>
      <c r="H207" s="3" t="s">
        <v>371</v>
      </c>
      <c r="I207" s="3" t="s">
        <v>460</v>
      </c>
      <c r="J207" s="9">
        <v>100</v>
      </c>
      <c r="K207" s="9">
        <v>100</v>
      </c>
      <c r="L207" s="9">
        <v>50</v>
      </c>
      <c r="M207" s="9">
        <v>0</v>
      </c>
      <c r="N207" s="9">
        <v>100</v>
      </c>
      <c r="O207" s="9">
        <v>100</v>
      </c>
      <c r="P207" s="9">
        <f t="shared" si="15"/>
        <v>450</v>
      </c>
      <c r="Q207" s="18">
        <v>0.11764705882352941</v>
      </c>
      <c r="R207" s="116">
        <v>4.8</v>
      </c>
      <c r="S207" s="19" t="str">
        <f t="shared" si="13"/>
        <v>1029006A (12%)</v>
      </c>
      <c r="T207" s="9">
        <f t="shared" si="14"/>
        <v>53</v>
      </c>
      <c r="U207" s="20" t="s">
        <v>1043</v>
      </c>
      <c r="V207" s="126" t="s">
        <v>1045</v>
      </c>
      <c r="W207" s="20" t="s">
        <v>1055</v>
      </c>
      <c r="X207" s="18">
        <v>0.93121693121693117</v>
      </c>
      <c r="Y207" s="18" t="s">
        <v>1066</v>
      </c>
      <c r="Z207" s="116">
        <v>5</v>
      </c>
      <c r="AA207" s="18"/>
      <c r="AB207" s="75"/>
    </row>
    <row r="208" spans="1:28">
      <c r="A208" s="6" t="s">
        <v>615</v>
      </c>
      <c r="B208" s="6" t="str">
        <f t="shared" si="12"/>
        <v>Automovers Auto Industry Pvt. Ltd.3313</v>
      </c>
      <c r="C208" s="6" t="s">
        <v>66</v>
      </c>
      <c r="D208" s="6">
        <v>10401</v>
      </c>
      <c r="E208" s="5">
        <v>3313</v>
      </c>
      <c r="F208" s="3" t="s">
        <v>890</v>
      </c>
      <c r="G208" s="3" t="s">
        <v>444</v>
      </c>
      <c r="H208" s="3" t="s">
        <v>407</v>
      </c>
      <c r="I208" s="3" t="s">
        <v>469</v>
      </c>
      <c r="J208" s="9">
        <v>80</v>
      </c>
      <c r="K208" s="9">
        <v>100</v>
      </c>
      <c r="L208" s="9">
        <v>0</v>
      </c>
      <c r="M208" s="9">
        <v>50</v>
      </c>
      <c r="N208" s="9">
        <v>0</v>
      </c>
      <c r="O208" s="9">
        <v>80</v>
      </c>
      <c r="P208" s="9">
        <f t="shared" si="15"/>
        <v>0</v>
      </c>
      <c r="Q208" s="18">
        <v>1</v>
      </c>
      <c r="R208" s="116">
        <v>4.9000000000000004</v>
      </c>
      <c r="S208" s="19" t="str">
        <f t="shared" si="13"/>
        <v>10401 (100%)</v>
      </c>
      <c r="T208" s="9">
        <f t="shared" si="14"/>
        <v>0</v>
      </c>
      <c r="U208" s="20" t="s">
        <v>1043</v>
      </c>
      <c r="V208" s="126" t="s">
        <v>1044</v>
      </c>
      <c r="W208" s="20" t="s">
        <v>1041</v>
      </c>
      <c r="X208" s="18">
        <v>1.2647058823529411</v>
      </c>
      <c r="Y208" s="18">
        <v>0.96820567873303254</v>
      </c>
      <c r="Z208" s="116">
        <v>4.4000000000000004</v>
      </c>
      <c r="AA208" s="18"/>
      <c r="AB208" s="75"/>
    </row>
    <row r="209" spans="1:28">
      <c r="A209" s="6" t="s">
        <v>659</v>
      </c>
      <c r="B209" s="6" t="str">
        <f t="shared" si="12"/>
        <v>RN Mobility Pvt. Ltd.1862</v>
      </c>
      <c r="C209" s="6" t="s">
        <v>67</v>
      </c>
      <c r="D209" s="6">
        <v>10402</v>
      </c>
      <c r="E209" s="5">
        <v>1862</v>
      </c>
      <c r="F209" s="3" t="s">
        <v>890</v>
      </c>
      <c r="G209" s="3" t="s">
        <v>445</v>
      </c>
      <c r="H209" s="3" t="s">
        <v>446</v>
      </c>
      <c r="I209" s="3" t="s">
        <v>463</v>
      </c>
      <c r="J209" s="9">
        <v>0</v>
      </c>
      <c r="K209" s="9">
        <v>0</v>
      </c>
      <c r="L209" s="9">
        <v>0</v>
      </c>
      <c r="M209" s="9">
        <v>0</v>
      </c>
      <c r="N209" s="9">
        <v>100</v>
      </c>
      <c r="O209" s="9">
        <v>0</v>
      </c>
      <c r="P209" s="9">
        <f t="shared" si="15"/>
        <v>100</v>
      </c>
      <c r="Q209" s="18">
        <v>0.44444444444444442</v>
      </c>
      <c r="R209" s="116">
        <v>4.8</v>
      </c>
      <c r="S209" s="19" t="str">
        <f t="shared" si="13"/>
        <v>10402 (44%)</v>
      </c>
      <c r="T209" s="9">
        <f t="shared" si="14"/>
        <v>44</v>
      </c>
      <c r="U209" s="20" t="s">
        <v>1039</v>
      </c>
      <c r="V209" s="126" t="s">
        <v>1044</v>
      </c>
      <c r="W209" s="20" t="s">
        <v>1040</v>
      </c>
      <c r="X209" s="18">
        <v>1.125</v>
      </c>
      <c r="Y209" s="18">
        <v>1.1770638064516128</v>
      </c>
      <c r="Z209" s="116">
        <v>5</v>
      </c>
      <c r="AA209" s="18"/>
      <c r="AB209" s="75"/>
    </row>
    <row r="210" spans="1:28">
      <c r="A210" s="6" t="s">
        <v>655</v>
      </c>
      <c r="B210" s="6" t="str">
        <f t="shared" si="12"/>
        <v>Raja Motors Corporation4183</v>
      </c>
      <c r="C210" s="6" t="s">
        <v>38</v>
      </c>
      <c r="D210" s="6" t="s">
        <v>188</v>
      </c>
      <c r="E210" s="5">
        <v>4183</v>
      </c>
      <c r="F210" s="3" t="s">
        <v>890</v>
      </c>
      <c r="G210" s="3" t="s">
        <v>447</v>
      </c>
      <c r="H210" s="3" t="s">
        <v>448</v>
      </c>
      <c r="I210" s="3" t="s">
        <v>465</v>
      </c>
      <c r="J210" s="9">
        <v>100</v>
      </c>
      <c r="K210" s="9">
        <v>100</v>
      </c>
      <c r="L210" s="9">
        <v>50</v>
      </c>
      <c r="M210" s="9">
        <v>0</v>
      </c>
      <c r="N210" s="9">
        <v>0</v>
      </c>
      <c r="O210" s="9">
        <v>0</v>
      </c>
      <c r="P210" s="9">
        <f t="shared" si="15"/>
        <v>0</v>
      </c>
      <c r="Q210" s="18">
        <v>0.21739130434782608</v>
      </c>
      <c r="R210" s="116">
        <v>4.8</v>
      </c>
      <c r="S210" s="19" t="str">
        <f t="shared" si="13"/>
        <v>1039002C (22%)</v>
      </c>
      <c r="T210" s="9">
        <f t="shared" si="14"/>
        <v>0</v>
      </c>
      <c r="U210" s="20" t="s">
        <v>1043</v>
      </c>
      <c r="V210" s="126" t="s">
        <v>1044</v>
      </c>
      <c r="W210" s="20" t="s">
        <v>1057</v>
      </c>
      <c r="X210" s="18">
        <v>1.1764705882352942</v>
      </c>
      <c r="Y210" s="18">
        <v>0.7981822573529409</v>
      </c>
      <c r="Z210" s="116">
        <v>4</v>
      </c>
      <c r="AA210" s="18"/>
      <c r="AB210" s="75"/>
    </row>
    <row r="211" spans="1:28">
      <c r="A211" s="6" t="s">
        <v>625</v>
      </c>
      <c r="B211" s="6" t="str">
        <f t="shared" si="12"/>
        <v>EVM Motors &amp; Vehicles India Pvt Ltd3346</v>
      </c>
      <c r="C211" s="6" t="s">
        <v>15</v>
      </c>
      <c r="D211" s="6" t="s">
        <v>189</v>
      </c>
      <c r="E211" s="5">
        <v>3346</v>
      </c>
      <c r="F211" s="3" t="s">
        <v>890</v>
      </c>
      <c r="G211" s="3" t="s">
        <v>449</v>
      </c>
      <c r="H211" s="3" t="s">
        <v>450</v>
      </c>
      <c r="I211" s="3" t="s">
        <v>466</v>
      </c>
      <c r="J211" s="9">
        <v>100</v>
      </c>
      <c r="K211" s="9">
        <v>100</v>
      </c>
      <c r="L211" s="9">
        <v>0</v>
      </c>
      <c r="M211" s="9">
        <v>0</v>
      </c>
      <c r="N211" s="9">
        <v>100</v>
      </c>
      <c r="O211" s="9">
        <v>80</v>
      </c>
      <c r="P211" s="9">
        <f t="shared" si="15"/>
        <v>0</v>
      </c>
      <c r="Q211" s="18">
        <v>3.7037037037037035E-2</v>
      </c>
      <c r="R211" s="116">
        <v>4.9000000000000004</v>
      </c>
      <c r="S211" s="19" t="str">
        <f t="shared" si="13"/>
        <v>2032804C (4%)</v>
      </c>
      <c r="T211" s="9">
        <f t="shared" si="14"/>
        <v>0</v>
      </c>
      <c r="U211" s="20" t="s">
        <v>1043</v>
      </c>
      <c r="V211" s="126" t="s">
        <v>1044</v>
      </c>
      <c r="W211" s="20" t="s">
        <v>1057</v>
      </c>
      <c r="X211" s="18">
        <v>1.3137254901960784</v>
      </c>
      <c r="Y211" s="18">
        <v>0.84404486763699482</v>
      </c>
      <c r="Z211" s="116">
        <v>5</v>
      </c>
      <c r="AA211" s="18"/>
      <c r="AB211" s="75"/>
    </row>
    <row r="212" spans="1:28">
      <c r="A212" s="6" t="s">
        <v>625</v>
      </c>
      <c r="B212" s="6" t="str">
        <f t="shared" si="12"/>
        <v>EVM Motors &amp; Vehicles India Pvt Ltd3346</v>
      </c>
      <c r="C212" s="6" t="s">
        <v>15</v>
      </c>
      <c r="D212" s="6" t="s">
        <v>190</v>
      </c>
      <c r="E212" s="5">
        <v>3346</v>
      </c>
      <c r="F212" s="3" t="s">
        <v>890</v>
      </c>
      <c r="G212" s="3" t="s">
        <v>451</v>
      </c>
      <c r="H212" s="3" t="s">
        <v>452</v>
      </c>
      <c r="I212" s="3" t="s">
        <v>466</v>
      </c>
      <c r="J212" s="9">
        <v>100</v>
      </c>
      <c r="K212" s="9">
        <v>100</v>
      </c>
      <c r="L212" s="9">
        <v>0</v>
      </c>
      <c r="M212" s="9">
        <v>50</v>
      </c>
      <c r="N212" s="9">
        <v>80</v>
      </c>
      <c r="O212" s="9">
        <v>80</v>
      </c>
      <c r="P212" s="9">
        <f t="shared" si="15"/>
        <v>0</v>
      </c>
      <c r="Q212" s="18">
        <v>3.2407407407407406E-2</v>
      </c>
      <c r="R212" s="116">
        <v>5</v>
      </c>
      <c r="S212" s="19" t="str">
        <f t="shared" si="13"/>
        <v>2037602C (3%)</v>
      </c>
      <c r="T212" s="9">
        <f t="shared" si="14"/>
        <v>0</v>
      </c>
      <c r="U212" s="20" t="s">
        <v>1043</v>
      </c>
      <c r="V212" s="126" t="s">
        <v>1044</v>
      </c>
      <c r="W212" s="20" t="s">
        <v>1057</v>
      </c>
      <c r="X212" s="18">
        <v>1.3137254901960784</v>
      </c>
      <c r="Y212" s="18">
        <v>0.84404486763699482</v>
      </c>
      <c r="Z212" s="116">
        <v>4.75</v>
      </c>
      <c r="AA212" s="18"/>
      <c r="AB212" s="75"/>
    </row>
    <row r="213" spans="1:28">
      <c r="A213" s="6" t="s">
        <v>677</v>
      </c>
      <c r="B213" s="6" t="str">
        <f t="shared" si="12"/>
        <v>Kanal Vehicles LLP1672</v>
      </c>
      <c r="C213" s="6" t="s">
        <v>69</v>
      </c>
      <c r="D213" s="6">
        <v>10403</v>
      </c>
      <c r="E213" s="5">
        <v>1672</v>
      </c>
      <c r="F213" s="3" t="s">
        <v>890</v>
      </c>
      <c r="G213" s="3" t="s">
        <v>453</v>
      </c>
      <c r="H213" s="3" t="s">
        <v>454</v>
      </c>
      <c r="I213" s="3" t="s">
        <v>463</v>
      </c>
      <c r="J213" s="9">
        <v>80</v>
      </c>
      <c r="K213" s="9">
        <v>100</v>
      </c>
      <c r="L213" s="9">
        <v>0</v>
      </c>
      <c r="M213" s="9">
        <v>50</v>
      </c>
      <c r="N213" s="9">
        <v>80</v>
      </c>
      <c r="O213" s="9">
        <v>80</v>
      </c>
      <c r="P213" s="9">
        <f t="shared" si="15"/>
        <v>0</v>
      </c>
      <c r="Q213" s="18">
        <v>1</v>
      </c>
      <c r="R213" s="116">
        <v>5</v>
      </c>
      <c r="S213" s="19" t="str">
        <f t="shared" si="13"/>
        <v>10403 (100%)</v>
      </c>
      <c r="T213" s="9">
        <f t="shared" si="14"/>
        <v>0</v>
      </c>
      <c r="U213" s="20" t="s">
        <v>1039</v>
      </c>
      <c r="V213" s="126" t="s">
        <v>1044</v>
      </c>
      <c r="W213" s="20" t="s">
        <v>1040</v>
      </c>
      <c r="X213" s="18">
        <v>1.1875</v>
      </c>
      <c r="Y213" s="18">
        <v>0.69205616666666692</v>
      </c>
      <c r="Z213" s="116">
        <v>4.7300000000000004</v>
      </c>
      <c r="AA213" s="18"/>
      <c r="AB213" s="75"/>
    </row>
    <row r="214" spans="1:28">
      <c r="A214" s="6" t="s">
        <v>659</v>
      </c>
      <c r="B214" s="6" t="str">
        <f t="shared" si="12"/>
        <v>RN Mobility Pvt. Ltd.1862</v>
      </c>
      <c r="C214" s="6" t="s">
        <v>67</v>
      </c>
      <c r="D214" s="6" t="s">
        <v>192</v>
      </c>
      <c r="E214" s="5">
        <v>1862</v>
      </c>
      <c r="F214" s="3" t="s">
        <v>890</v>
      </c>
      <c r="G214" s="3" t="s">
        <v>455</v>
      </c>
      <c r="H214" s="3" t="s">
        <v>371</v>
      </c>
      <c r="I214" s="3" t="s">
        <v>463</v>
      </c>
      <c r="J214" s="9">
        <v>0</v>
      </c>
      <c r="K214" s="9">
        <v>0</v>
      </c>
      <c r="L214" s="9">
        <v>0</v>
      </c>
      <c r="M214" s="9">
        <v>0</v>
      </c>
      <c r="N214" s="9">
        <v>0</v>
      </c>
      <c r="O214" s="9">
        <v>100</v>
      </c>
      <c r="P214" s="9">
        <f t="shared" si="15"/>
        <v>0</v>
      </c>
      <c r="Q214" s="18">
        <v>0.22222222222222221</v>
      </c>
      <c r="R214" s="116">
        <v>4.7</v>
      </c>
      <c r="S214" s="19" t="str">
        <f t="shared" si="13"/>
        <v>1040201A (22%)</v>
      </c>
      <c r="T214" s="9">
        <f t="shared" si="14"/>
        <v>0</v>
      </c>
      <c r="U214" s="20" t="s">
        <v>1039</v>
      </c>
      <c r="V214" s="126" t="s">
        <v>1045</v>
      </c>
      <c r="W214" s="20" t="s">
        <v>1055</v>
      </c>
      <c r="X214" s="18">
        <v>1.125</v>
      </c>
      <c r="Y214" s="18" t="s">
        <v>1066</v>
      </c>
      <c r="Z214" s="116">
        <v>0</v>
      </c>
      <c r="AA214" s="18"/>
      <c r="AB214" s="75"/>
    </row>
    <row r="215" spans="1:28">
      <c r="A215" s="6" t="s">
        <v>657</v>
      </c>
      <c r="B215" s="6" t="str">
        <f t="shared" si="12"/>
        <v>Saisha Motors Pvt Ltd1987</v>
      </c>
      <c r="C215" s="6" t="s">
        <v>40</v>
      </c>
      <c r="D215" s="6" t="s">
        <v>193</v>
      </c>
      <c r="E215" s="5">
        <v>1987</v>
      </c>
      <c r="F215" s="3" t="s">
        <v>889</v>
      </c>
      <c r="G215" s="3" t="s">
        <v>455</v>
      </c>
      <c r="H215" s="3" t="s">
        <v>371</v>
      </c>
      <c r="I215" s="3" t="s">
        <v>460</v>
      </c>
      <c r="J215" s="9">
        <v>100</v>
      </c>
      <c r="K215" s="9">
        <v>80</v>
      </c>
      <c r="L215" s="9">
        <v>50</v>
      </c>
      <c r="M215" s="9">
        <v>0</v>
      </c>
      <c r="N215" s="9">
        <v>100</v>
      </c>
      <c r="O215" s="9">
        <v>80</v>
      </c>
      <c r="P215" s="9">
        <f t="shared" si="15"/>
        <v>410</v>
      </c>
      <c r="Q215" s="18">
        <v>0.11764705882352941</v>
      </c>
      <c r="R215" s="116">
        <v>4.8</v>
      </c>
      <c r="S215" s="19" t="str">
        <f t="shared" si="13"/>
        <v>1029007A (12%)</v>
      </c>
      <c r="T215" s="9">
        <f t="shared" si="14"/>
        <v>48</v>
      </c>
      <c r="U215" s="20" t="s">
        <v>1043</v>
      </c>
      <c r="V215" s="126" t="s">
        <v>1045</v>
      </c>
      <c r="W215" s="20" t="s">
        <v>1055</v>
      </c>
      <c r="X215" s="18">
        <v>0.93121693121693117</v>
      </c>
      <c r="Y215" s="18" t="s">
        <v>1066</v>
      </c>
      <c r="Z215" s="116">
        <v>5</v>
      </c>
      <c r="AA215" s="18"/>
      <c r="AB215" s="75"/>
    </row>
    <row r="216" spans="1:28">
      <c r="A216" s="6" t="s">
        <v>760</v>
      </c>
      <c r="B216" s="6" t="str">
        <f t="shared" ref="B216:B260" si="16">_xlfn.CONCAT(C216,E216)</f>
        <v>Buglee Automobiles Pvt. Ltd.3783</v>
      </c>
      <c r="C216" s="6" t="s">
        <v>690</v>
      </c>
      <c r="D216" s="6">
        <v>10409</v>
      </c>
      <c r="E216" s="5">
        <v>3783</v>
      </c>
      <c r="F216" s="3" t="s">
        <v>889</v>
      </c>
      <c r="G216" s="3" t="s">
        <v>701</v>
      </c>
      <c r="H216" s="3" t="s">
        <v>702</v>
      </c>
      <c r="I216" s="3"/>
      <c r="J216" s="9">
        <v>100</v>
      </c>
      <c r="K216" s="9">
        <v>100</v>
      </c>
      <c r="L216" s="9">
        <v>40</v>
      </c>
      <c r="M216" s="9">
        <v>0</v>
      </c>
      <c r="N216" s="9">
        <v>100</v>
      </c>
      <c r="O216" s="9">
        <v>80</v>
      </c>
      <c r="P216" s="9">
        <f t="shared" si="15"/>
        <v>0</v>
      </c>
      <c r="Q216" s="18">
        <v>0.6</v>
      </c>
      <c r="R216" s="116">
        <v>4.7</v>
      </c>
      <c r="S216" s="19" t="str">
        <f t="shared" si="13"/>
        <v>10409 (60%)</v>
      </c>
      <c r="T216" s="9">
        <f t="shared" si="14"/>
        <v>0</v>
      </c>
      <c r="U216" s="20" t="s">
        <v>1043</v>
      </c>
      <c r="V216" s="126" t="s">
        <v>1044</v>
      </c>
      <c r="W216" s="20" t="s">
        <v>1041</v>
      </c>
      <c r="X216" s="18">
        <v>0.66666666666666663</v>
      </c>
      <c r="Y216" s="18">
        <v>1.0035244702702708</v>
      </c>
      <c r="Z216" s="116">
        <v>4.92</v>
      </c>
      <c r="AA216" s="18"/>
      <c r="AB216" s="75"/>
    </row>
    <row r="217" spans="1:28">
      <c r="A217" s="6" t="s">
        <v>730</v>
      </c>
      <c r="B217" s="6" t="str">
        <f t="shared" si="16"/>
        <v>Dhone Mobility Pvt. Ltd.2398</v>
      </c>
      <c r="C217" s="6" t="s">
        <v>697</v>
      </c>
      <c r="D217" s="6">
        <v>10406</v>
      </c>
      <c r="E217" s="5">
        <v>2398</v>
      </c>
      <c r="F217" s="3" t="s">
        <v>889</v>
      </c>
      <c r="G217" s="3" t="s">
        <v>703</v>
      </c>
      <c r="H217" s="3" t="s">
        <v>208</v>
      </c>
      <c r="I217" s="3"/>
      <c r="J217" s="9">
        <v>80</v>
      </c>
      <c r="K217" s="9">
        <v>80</v>
      </c>
      <c r="L217" s="9">
        <v>0</v>
      </c>
      <c r="M217" s="9">
        <v>50</v>
      </c>
      <c r="N217" s="9">
        <v>80</v>
      </c>
      <c r="O217" s="9">
        <v>80</v>
      </c>
      <c r="P217" s="9">
        <f t="shared" si="15"/>
        <v>370</v>
      </c>
      <c r="Q217" s="18">
        <v>0.32183908045977011</v>
      </c>
      <c r="R217" s="116">
        <v>4.9000000000000004</v>
      </c>
      <c r="S217" s="19" t="str">
        <f t="shared" si="13"/>
        <v>10406 (32%)</v>
      </c>
      <c r="T217" s="9">
        <f t="shared" si="14"/>
        <v>119</v>
      </c>
      <c r="U217" s="20" t="s">
        <v>1039</v>
      </c>
      <c r="V217" s="126" t="s">
        <v>1044</v>
      </c>
      <c r="W217" s="20" t="s">
        <v>1041</v>
      </c>
      <c r="X217" s="18">
        <v>1.223529411764706</v>
      </c>
      <c r="Y217" s="18">
        <v>1.6744146882352946</v>
      </c>
      <c r="Z217" s="116">
        <v>4.75</v>
      </c>
      <c r="AA217" s="18"/>
      <c r="AB217" s="75"/>
    </row>
    <row r="218" spans="1:28">
      <c r="A218" s="6" t="s">
        <v>730</v>
      </c>
      <c r="B218" s="6" t="str">
        <f t="shared" si="16"/>
        <v>Dhone Mobility Pvt. Ltd.2398</v>
      </c>
      <c r="C218" s="6" t="s">
        <v>697</v>
      </c>
      <c r="D218" s="6">
        <v>10407</v>
      </c>
      <c r="E218" s="5">
        <v>2398</v>
      </c>
      <c r="F218" s="3" t="s">
        <v>889</v>
      </c>
      <c r="G218" s="3" t="s">
        <v>704</v>
      </c>
      <c r="H218" s="3" t="s">
        <v>208</v>
      </c>
      <c r="I218" s="3"/>
      <c r="J218" s="9">
        <v>100</v>
      </c>
      <c r="K218" s="9">
        <v>100</v>
      </c>
      <c r="L218" s="9">
        <v>40</v>
      </c>
      <c r="M218" s="9">
        <v>50</v>
      </c>
      <c r="N218" s="9">
        <v>100</v>
      </c>
      <c r="O218" s="9">
        <v>80</v>
      </c>
      <c r="P218" s="9">
        <f t="shared" si="15"/>
        <v>470</v>
      </c>
      <c r="Q218" s="18">
        <v>0.32183908045977011</v>
      </c>
      <c r="R218" s="116">
        <v>5</v>
      </c>
      <c r="S218" s="19" t="str">
        <f t="shared" si="13"/>
        <v>10407 (32%)</v>
      </c>
      <c r="T218" s="9">
        <f t="shared" si="14"/>
        <v>151</v>
      </c>
      <c r="U218" s="20" t="s">
        <v>1039</v>
      </c>
      <c r="V218" s="126" t="s">
        <v>1045</v>
      </c>
      <c r="W218" s="20" t="s">
        <v>1059</v>
      </c>
      <c r="X218" s="18">
        <v>1.223529411764706</v>
      </c>
      <c r="Y218" s="18" t="s">
        <v>1066</v>
      </c>
      <c r="Z218" s="116">
        <v>4.8600000000000003</v>
      </c>
      <c r="AA218" s="18"/>
      <c r="AB218" s="75"/>
    </row>
    <row r="219" spans="1:28">
      <c r="A219" s="6" t="s">
        <v>730</v>
      </c>
      <c r="B219" s="6" t="str">
        <f t="shared" si="16"/>
        <v>Dhone Mobility Pvt. Ltd.2398</v>
      </c>
      <c r="C219" s="6" t="s">
        <v>697</v>
      </c>
      <c r="D219" s="6" t="s">
        <v>692</v>
      </c>
      <c r="E219" s="5">
        <v>2398</v>
      </c>
      <c r="F219" s="3" t="s">
        <v>889</v>
      </c>
      <c r="G219" s="3" t="s">
        <v>705</v>
      </c>
      <c r="H219" s="3" t="s">
        <v>208</v>
      </c>
      <c r="I219" s="3"/>
      <c r="J219" s="9">
        <v>0</v>
      </c>
      <c r="K219" s="9">
        <v>100</v>
      </c>
      <c r="L219" s="9">
        <v>0</v>
      </c>
      <c r="M219" s="9">
        <v>50</v>
      </c>
      <c r="N219" s="9">
        <v>80</v>
      </c>
      <c r="O219" s="9">
        <v>80</v>
      </c>
      <c r="P219" s="9">
        <f t="shared" si="15"/>
        <v>310</v>
      </c>
      <c r="Q219" s="18">
        <v>0.22988505747126436</v>
      </c>
      <c r="R219" s="116">
        <v>4.9000000000000004</v>
      </c>
      <c r="S219" s="19" t="str">
        <f t="shared" si="13"/>
        <v>1040601A (23%)</v>
      </c>
      <c r="T219" s="9">
        <f t="shared" si="14"/>
        <v>71</v>
      </c>
      <c r="U219" s="20" t="s">
        <v>1039</v>
      </c>
      <c r="V219" s="126" t="s">
        <v>1045</v>
      </c>
      <c r="W219" s="20" t="s">
        <v>1055</v>
      </c>
      <c r="X219" s="18">
        <v>1.223529411764706</v>
      </c>
      <c r="Y219" s="18" t="s">
        <v>1066</v>
      </c>
      <c r="Z219" s="116">
        <v>4.7</v>
      </c>
      <c r="AA219" s="18"/>
      <c r="AB219" s="75"/>
    </row>
    <row r="220" spans="1:28" ht="22.8">
      <c r="A220" s="6" t="s">
        <v>759</v>
      </c>
      <c r="B220" s="6" t="str">
        <f t="shared" si="16"/>
        <v>Wheelocity Motors Pvt Ltd + Elysian Automobile Pvt. Ltd.3850</v>
      </c>
      <c r="C220" s="29" t="s">
        <v>758</v>
      </c>
      <c r="D220" s="6">
        <v>10414</v>
      </c>
      <c r="E220" s="5">
        <v>3850</v>
      </c>
      <c r="F220" s="3" t="s">
        <v>889</v>
      </c>
      <c r="G220" s="3" t="s">
        <v>706</v>
      </c>
      <c r="H220" s="3" t="s">
        <v>707</v>
      </c>
      <c r="I220" s="3"/>
      <c r="J220" s="9">
        <v>0</v>
      </c>
      <c r="K220" s="9">
        <v>0</v>
      </c>
      <c r="L220" s="9">
        <v>50</v>
      </c>
      <c r="M220" s="9">
        <v>0</v>
      </c>
      <c r="N220" s="9">
        <v>0</v>
      </c>
      <c r="O220" s="9">
        <v>80</v>
      </c>
      <c r="P220" s="9">
        <f t="shared" si="15"/>
        <v>0</v>
      </c>
      <c r="Q220" s="18">
        <v>0.31428571428571428</v>
      </c>
      <c r="R220" s="116">
        <v>4.8</v>
      </c>
      <c r="S220" s="19" t="str">
        <f t="shared" si="13"/>
        <v>10414 (31%)</v>
      </c>
      <c r="T220" s="9">
        <f t="shared" si="14"/>
        <v>0</v>
      </c>
      <c r="U220" s="20" t="s">
        <v>1043</v>
      </c>
      <c r="V220" s="126" t="s">
        <v>1045</v>
      </c>
      <c r="W220" s="20" t="s">
        <v>1055</v>
      </c>
      <c r="X220" s="18">
        <v>0.58333333333333337</v>
      </c>
      <c r="Y220" s="18" t="s">
        <v>1066</v>
      </c>
      <c r="Z220" s="116">
        <v>4.2</v>
      </c>
      <c r="AA220" s="18"/>
      <c r="AB220" s="75"/>
    </row>
    <row r="221" spans="1:28">
      <c r="A221" s="6" t="s">
        <v>629</v>
      </c>
      <c r="B221" s="6" t="str">
        <f t="shared" si="16"/>
        <v>Garnet Motors (D) Pvt. Ltd.3766</v>
      </c>
      <c r="C221" s="6" t="s">
        <v>19</v>
      </c>
      <c r="D221" s="6" t="s">
        <v>693</v>
      </c>
      <c r="E221" s="5">
        <v>3766</v>
      </c>
      <c r="F221" s="3" t="s">
        <v>889</v>
      </c>
      <c r="G221" s="3" t="s">
        <v>456</v>
      </c>
      <c r="H221" s="3" t="s">
        <v>200</v>
      </c>
      <c r="I221" s="3" t="s">
        <v>467</v>
      </c>
      <c r="J221" s="9">
        <v>100</v>
      </c>
      <c r="K221" s="9">
        <v>100</v>
      </c>
      <c r="L221" s="9">
        <v>0</v>
      </c>
      <c r="M221" s="9">
        <v>0</v>
      </c>
      <c r="N221" s="9">
        <v>100</v>
      </c>
      <c r="O221" s="9">
        <v>0</v>
      </c>
      <c r="P221" s="9">
        <f t="shared" si="15"/>
        <v>300</v>
      </c>
      <c r="Q221" s="18">
        <v>0.26829268292682928</v>
      </c>
      <c r="R221" s="116">
        <v>4.8</v>
      </c>
      <c r="S221" s="19" t="str">
        <f t="shared" si="13"/>
        <v>1039902A (27%)</v>
      </c>
      <c r="T221" s="9">
        <f t="shared" si="14"/>
        <v>80</v>
      </c>
      <c r="U221" s="20" t="s">
        <v>1039</v>
      </c>
      <c r="V221" s="126" t="s">
        <v>1045</v>
      </c>
      <c r="W221" s="20" t="s">
        <v>1055</v>
      </c>
      <c r="X221" s="18">
        <v>1.0515463917525774</v>
      </c>
      <c r="Y221" s="18" t="s">
        <v>1066</v>
      </c>
      <c r="Z221" s="116">
        <v>4.93</v>
      </c>
      <c r="AA221" s="18"/>
      <c r="AB221" s="75"/>
    </row>
    <row r="222" spans="1:28">
      <c r="A222" s="6" t="s">
        <v>732</v>
      </c>
      <c r="B222" s="6" t="str">
        <f t="shared" si="16"/>
        <v>Gurukrupa Cars Pvt. Ltd.4121</v>
      </c>
      <c r="C222" s="6" t="s">
        <v>698</v>
      </c>
      <c r="D222" s="6">
        <v>10405</v>
      </c>
      <c r="E222" s="5">
        <v>4121</v>
      </c>
      <c r="F222" s="3" t="s">
        <v>889</v>
      </c>
      <c r="G222" s="3" t="s">
        <v>710</v>
      </c>
      <c r="H222" s="3" t="s">
        <v>711</v>
      </c>
      <c r="I222" s="3"/>
      <c r="J222" s="9">
        <v>100</v>
      </c>
      <c r="K222" s="9">
        <v>80</v>
      </c>
      <c r="L222" s="9">
        <v>0</v>
      </c>
      <c r="M222" s="9">
        <v>50</v>
      </c>
      <c r="N222" s="9">
        <v>0</v>
      </c>
      <c r="O222" s="9">
        <v>0</v>
      </c>
      <c r="P222" s="9">
        <f t="shared" si="15"/>
        <v>0</v>
      </c>
      <c r="Q222" s="18">
        <v>0.44</v>
      </c>
      <c r="R222" s="116">
        <v>4.9000000000000004</v>
      </c>
      <c r="S222" s="19" t="str">
        <f t="shared" si="13"/>
        <v>10405 (44%)</v>
      </c>
      <c r="T222" s="9">
        <f t="shared" si="14"/>
        <v>0</v>
      </c>
      <c r="U222" s="20" t="s">
        <v>1039</v>
      </c>
      <c r="V222" s="126" t="s">
        <v>1044</v>
      </c>
      <c r="W222" s="20" t="s">
        <v>1040</v>
      </c>
      <c r="X222" s="18">
        <v>2.4615384615384617</v>
      </c>
      <c r="Y222" s="18">
        <v>1.3159245813953491</v>
      </c>
      <c r="Z222" s="116">
        <v>4.5</v>
      </c>
      <c r="AA222" s="18"/>
      <c r="AB222" s="75"/>
    </row>
    <row r="223" spans="1:28">
      <c r="A223" s="6" t="s">
        <v>732</v>
      </c>
      <c r="B223" s="6" t="str">
        <f t="shared" si="16"/>
        <v>Gurukrupa Cars Pvt. Ltd.4121</v>
      </c>
      <c r="C223" s="6" t="s">
        <v>698</v>
      </c>
      <c r="D223" s="6" t="s">
        <v>694</v>
      </c>
      <c r="E223" s="5">
        <v>4121</v>
      </c>
      <c r="F223" s="3" t="s">
        <v>889</v>
      </c>
      <c r="G223" s="3" t="s">
        <v>712</v>
      </c>
      <c r="H223" s="3" t="s">
        <v>713</v>
      </c>
      <c r="I223" s="3"/>
      <c r="J223" s="9">
        <v>0</v>
      </c>
      <c r="K223" s="9">
        <v>100</v>
      </c>
      <c r="L223" s="9">
        <v>0</v>
      </c>
      <c r="M223" s="9">
        <v>50</v>
      </c>
      <c r="N223" s="9">
        <v>0</v>
      </c>
      <c r="O223" s="9">
        <v>0</v>
      </c>
      <c r="P223" s="9">
        <f t="shared" si="15"/>
        <v>0</v>
      </c>
      <c r="Q223" s="18">
        <v>0.28000000000000003</v>
      </c>
      <c r="R223" s="116">
        <v>4.7</v>
      </c>
      <c r="S223" s="19" t="str">
        <f t="shared" si="13"/>
        <v>1040501C (28%)</v>
      </c>
      <c r="T223" s="9">
        <f t="shared" si="14"/>
        <v>0</v>
      </c>
      <c r="U223" s="20" t="s">
        <v>1039</v>
      </c>
      <c r="V223" s="126" t="s">
        <v>1044</v>
      </c>
      <c r="W223" s="20" t="s">
        <v>1058</v>
      </c>
      <c r="X223" s="18">
        <v>2.4615384615384617</v>
      </c>
      <c r="Y223" s="18">
        <v>1.3159245813953491</v>
      </c>
      <c r="Z223" s="116">
        <v>4</v>
      </c>
      <c r="AA223" s="18"/>
      <c r="AB223" s="75"/>
    </row>
    <row r="224" spans="1:28">
      <c r="A224" s="6" t="s">
        <v>734</v>
      </c>
      <c r="B224" s="6" t="str">
        <f t="shared" si="16"/>
        <v>Karr Motor Ventures Pvt. Ltd1998</v>
      </c>
      <c r="C224" s="6" t="s">
        <v>699</v>
      </c>
      <c r="D224" s="6">
        <v>10410</v>
      </c>
      <c r="E224" s="5">
        <v>1998</v>
      </c>
      <c r="F224" s="3" t="s">
        <v>890</v>
      </c>
      <c r="G224" s="3" t="s">
        <v>714</v>
      </c>
      <c r="H224" s="3" t="s">
        <v>357</v>
      </c>
      <c r="I224" s="3"/>
      <c r="J224" s="9">
        <v>80</v>
      </c>
      <c r="K224" s="9">
        <v>100</v>
      </c>
      <c r="L224" s="9">
        <v>40</v>
      </c>
      <c r="M224" s="9">
        <v>50</v>
      </c>
      <c r="N224" s="9">
        <v>80</v>
      </c>
      <c r="O224" s="9">
        <v>80</v>
      </c>
      <c r="P224" s="9">
        <f t="shared" si="15"/>
        <v>430</v>
      </c>
      <c r="Q224" s="18">
        <v>0.65277777777777779</v>
      </c>
      <c r="R224" s="116">
        <v>4.9000000000000004</v>
      </c>
      <c r="S224" s="19" t="str">
        <f t="shared" si="13"/>
        <v>10410 (65%)</v>
      </c>
      <c r="T224" s="9">
        <f t="shared" si="14"/>
        <v>281</v>
      </c>
      <c r="U224" s="20" t="s">
        <v>1039</v>
      </c>
      <c r="V224" s="126" t="s">
        <v>1045</v>
      </c>
      <c r="W224" s="20" t="s">
        <v>1055</v>
      </c>
      <c r="X224" s="18">
        <v>2.8</v>
      </c>
      <c r="Y224" s="18" t="s">
        <v>1066</v>
      </c>
      <c r="Z224" s="116">
        <v>4.72</v>
      </c>
      <c r="AA224" s="18"/>
      <c r="AB224" s="75"/>
    </row>
    <row r="225" spans="1:28">
      <c r="A225" s="6" t="s">
        <v>736</v>
      </c>
      <c r="B225" s="6" t="str">
        <f t="shared" si="16"/>
        <v>Malwa Motor Sales Pvt. Ltd.1879</v>
      </c>
      <c r="C225" s="6" t="s">
        <v>700</v>
      </c>
      <c r="D225" s="6">
        <v>10408</v>
      </c>
      <c r="E225" s="5">
        <v>1879</v>
      </c>
      <c r="F225" s="3" t="s">
        <v>889</v>
      </c>
      <c r="G225" s="3" t="s">
        <v>715</v>
      </c>
      <c r="H225" s="3" t="s">
        <v>702</v>
      </c>
      <c r="I225" s="3"/>
      <c r="J225" s="9">
        <v>0</v>
      </c>
      <c r="K225" s="9">
        <v>100</v>
      </c>
      <c r="L225" s="9">
        <v>50</v>
      </c>
      <c r="M225" s="9">
        <v>0</v>
      </c>
      <c r="N225" s="9">
        <v>100</v>
      </c>
      <c r="O225" s="9">
        <v>80</v>
      </c>
      <c r="P225" s="9">
        <f t="shared" si="15"/>
        <v>330</v>
      </c>
      <c r="Q225" s="18">
        <v>0.6</v>
      </c>
      <c r="R225" s="116">
        <v>4.7</v>
      </c>
      <c r="S225" s="19" t="str">
        <f t="shared" si="13"/>
        <v>10408 (60%)</v>
      </c>
      <c r="T225" s="9">
        <f t="shared" si="14"/>
        <v>198</v>
      </c>
      <c r="U225" s="20" t="s">
        <v>1039</v>
      </c>
      <c r="V225" s="126" t="s">
        <v>1045</v>
      </c>
      <c r="W225" s="20" t="s">
        <v>1059</v>
      </c>
      <c r="X225" s="18">
        <v>1.1000000000000001</v>
      </c>
      <c r="Y225" s="18" t="s">
        <v>1066</v>
      </c>
      <c r="Z225" s="116">
        <v>5</v>
      </c>
      <c r="AA225" s="18"/>
      <c r="AB225" s="75"/>
    </row>
    <row r="226" spans="1:28">
      <c r="A226" s="6" t="s">
        <v>736</v>
      </c>
      <c r="B226" s="6" t="str">
        <f t="shared" si="16"/>
        <v>Malwa Motor Sales Pvt. Ltd.1879</v>
      </c>
      <c r="C226" s="6" t="s">
        <v>700</v>
      </c>
      <c r="D226" s="6">
        <v>10395</v>
      </c>
      <c r="E226" s="5">
        <v>1879</v>
      </c>
      <c r="F226" s="3" t="s">
        <v>889</v>
      </c>
      <c r="G226" s="3" t="s">
        <v>716</v>
      </c>
      <c r="H226" s="3" t="s">
        <v>717</v>
      </c>
      <c r="I226" s="3"/>
      <c r="J226" s="9">
        <v>0</v>
      </c>
      <c r="K226" s="9">
        <v>80</v>
      </c>
      <c r="L226" s="9">
        <v>50</v>
      </c>
      <c r="M226" s="9">
        <v>0</v>
      </c>
      <c r="N226" s="9">
        <v>100</v>
      </c>
      <c r="O226" s="9">
        <v>100</v>
      </c>
      <c r="P226" s="9">
        <f t="shared" si="15"/>
        <v>330</v>
      </c>
      <c r="Q226" s="18">
        <v>0.4</v>
      </c>
      <c r="R226" s="116">
        <v>4.8</v>
      </c>
      <c r="S226" s="19" t="str">
        <f t="shared" si="13"/>
        <v>10395 (40%)</v>
      </c>
      <c r="T226" s="9">
        <f t="shared" si="14"/>
        <v>132</v>
      </c>
      <c r="U226" s="20" t="s">
        <v>1039</v>
      </c>
      <c r="V226" s="126" t="s">
        <v>1045</v>
      </c>
      <c r="W226" s="20" t="s">
        <v>1055</v>
      </c>
      <c r="X226" s="18">
        <v>1.1000000000000001</v>
      </c>
      <c r="Y226" s="18" t="s">
        <v>1066</v>
      </c>
      <c r="Z226" s="116">
        <v>5</v>
      </c>
      <c r="AA226" s="18"/>
      <c r="AB226" s="75"/>
    </row>
    <row r="227" spans="1:28">
      <c r="A227" s="6" t="s">
        <v>661</v>
      </c>
      <c r="B227" s="6" t="str">
        <f t="shared" si="16"/>
        <v>Satguru Motors1489</v>
      </c>
      <c r="C227" s="6" t="s">
        <v>42</v>
      </c>
      <c r="D227" s="6" t="s">
        <v>695</v>
      </c>
      <c r="E227" s="5">
        <v>1489</v>
      </c>
      <c r="F227" s="3" t="s">
        <v>889</v>
      </c>
      <c r="G227" s="3" t="s">
        <v>718</v>
      </c>
      <c r="H227" s="3" t="s">
        <v>719</v>
      </c>
      <c r="I227" s="3" t="s">
        <v>460</v>
      </c>
      <c r="J227" s="9">
        <v>0</v>
      </c>
      <c r="K227" s="9">
        <v>0</v>
      </c>
      <c r="L227" s="9">
        <v>0</v>
      </c>
      <c r="M227" s="9">
        <v>0</v>
      </c>
      <c r="N227" s="9">
        <v>0</v>
      </c>
      <c r="O227" s="9">
        <v>80</v>
      </c>
      <c r="P227" s="9">
        <f t="shared" si="15"/>
        <v>0</v>
      </c>
      <c r="Q227" s="18">
        <v>0.16363636363636364</v>
      </c>
      <c r="R227" s="116">
        <v>4.7</v>
      </c>
      <c r="S227" s="19" t="str">
        <f t="shared" si="13"/>
        <v>1002504C (16%)</v>
      </c>
      <c r="T227" s="9">
        <f t="shared" si="14"/>
        <v>0</v>
      </c>
      <c r="U227" s="20" t="s">
        <v>1043</v>
      </c>
      <c r="V227" s="126" t="s">
        <v>1045</v>
      </c>
      <c r="W227" s="20" t="s">
        <v>1055</v>
      </c>
      <c r="X227" s="18">
        <v>4</v>
      </c>
      <c r="Y227" s="18" t="s">
        <v>1066</v>
      </c>
      <c r="Z227" s="116">
        <v>3</v>
      </c>
      <c r="AA227" s="18"/>
      <c r="AB227" s="75"/>
    </row>
    <row r="228" spans="1:28">
      <c r="A228" s="6" t="s">
        <v>664</v>
      </c>
      <c r="B228" s="6" t="str">
        <f t="shared" si="16"/>
        <v>Shanta Motors Pvt. Ltd.2185</v>
      </c>
      <c r="C228" s="6" t="s">
        <v>44</v>
      </c>
      <c r="D228" s="6" t="s">
        <v>696</v>
      </c>
      <c r="E228" s="5">
        <v>2185</v>
      </c>
      <c r="F228" s="3" t="s">
        <v>889</v>
      </c>
      <c r="G228" s="3" t="s">
        <v>722</v>
      </c>
      <c r="H228" s="3" t="s">
        <v>723</v>
      </c>
      <c r="I228" s="3" t="s">
        <v>460</v>
      </c>
      <c r="J228" s="9">
        <v>0</v>
      </c>
      <c r="K228" s="9">
        <v>0</v>
      </c>
      <c r="L228" s="9">
        <v>40</v>
      </c>
      <c r="M228" s="9">
        <v>50</v>
      </c>
      <c r="N228" s="9">
        <v>100</v>
      </c>
      <c r="O228" s="9">
        <v>0</v>
      </c>
      <c r="P228" s="9">
        <f t="shared" si="15"/>
        <v>0</v>
      </c>
      <c r="Q228" s="18">
        <v>0.25</v>
      </c>
      <c r="R228" s="116">
        <v>5</v>
      </c>
      <c r="S228" s="19" t="str">
        <f t="shared" si="13"/>
        <v>1039201C (25%)</v>
      </c>
      <c r="T228" s="9">
        <f t="shared" si="14"/>
        <v>0</v>
      </c>
      <c r="U228" s="20" t="s">
        <v>1039</v>
      </c>
      <c r="V228" s="126" t="s">
        <v>1045</v>
      </c>
      <c r="W228" s="20" t="s">
        <v>1055</v>
      </c>
      <c r="X228" s="18">
        <v>0.59459459459459463</v>
      </c>
      <c r="Y228" s="18" t="s">
        <v>1066</v>
      </c>
      <c r="Z228" s="116">
        <v>5</v>
      </c>
      <c r="AA228" s="18"/>
      <c r="AB228" s="75"/>
    </row>
    <row r="229" spans="1:28">
      <c r="A229" s="6" t="s">
        <v>670</v>
      </c>
      <c r="B229" s="6" t="str">
        <f t="shared" si="16"/>
        <v>Speedworks Auto Private Limited3225</v>
      </c>
      <c r="C229" s="6" t="s">
        <v>51</v>
      </c>
      <c r="D229" s="6">
        <v>10412</v>
      </c>
      <c r="E229" s="5">
        <v>3225</v>
      </c>
      <c r="F229" s="3" t="s">
        <v>890</v>
      </c>
      <c r="G229" s="3" t="s">
        <v>724</v>
      </c>
      <c r="H229" s="3" t="s">
        <v>407</v>
      </c>
      <c r="I229" s="3" t="s">
        <v>463</v>
      </c>
      <c r="J229" s="9">
        <v>80</v>
      </c>
      <c r="K229" s="9">
        <v>100</v>
      </c>
      <c r="L229" s="9">
        <v>50</v>
      </c>
      <c r="M229" s="9">
        <v>50</v>
      </c>
      <c r="N229" s="9">
        <v>80</v>
      </c>
      <c r="O229" s="9">
        <v>80</v>
      </c>
      <c r="P229" s="9">
        <f t="shared" si="15"/>
        <v>440</v>
      </c>
      <c r="Q229" s="18">
        <v>0.29126213592233008</v>
      </c>
      <c r="R229" s="116">
        <v>5</v>
      </c>
      <c r="S229" s="19" t="str">
        <f t="shared" si="13"/>
        <v>10412 (29%)</v>
      </c>
      <c r="T229" s="9">
        <f t="shared" si="14"/>
        <v>128</v>
      </c>
      <c r="U229" s="20" t="s">
        <v>1043</v>
      </c>
      <c r="V229" s="126" t="s">
        <v>1045</v>
      </c>
      <c r="W229" s="20" t="s">
        <v>1059</v>
      </c>
      <c r="X229" s="18">
        <v>1.1654135338345866</v>
      </c>
      <c r="Y229" s="18" t="s">
        <v>1066</v>
      </c>
      <c r="Z229" s="116">
        <v>4.83</v>
      </c>
      <c r="AA229" s="18"/>
      <c r="AB229" s="75"/>
    </row>
    <row r="230" spans="1:28">
      <c r="A230" s="6" t="s">
        <v>625</v>
      </c>
      <c r="B230" s="6" t="str">
        <f t="shared" si="16"/>
        <v>EVM Motors &amp; Vehicles India Pvt Ltd3346</v>
      </c>
      <c r="C230" s="6" t="s">
        <v>15</v>
      </c>
      <c r="D230" s="6" t="s">
        <v>737</v>
      </c>
      <c r="E230" s="5">
        <v>3346</v>
      </c>
      <c r="F230" s="3" t="s">
        <v>890</v>
      </c>
      <c r="G230" s="3" t="s">
        <v>708</v>
      </c>
      <c r="H230" s="3" t="s">
        <v>709</v>
      </c>
      <c r="I230" s="3"/>
      <c r="J230" s="9">
        <v>100</v>
      </c>
      <c r="K230" s="9">
        <v>0</v>
      </c>
      <c r="L230" s="9">
        <v>0</v>
      </c>
      <c r="M230" s="9">
        <v>50</v>
      </c>
      <c r="N230" s="9">
        <v>100</v>
      </c>
      <c r="O230" s="9">
        <v>80</v>
      </c>
      <c r="P230" s="9">
        <f t="shared" si="15"/>
        <v>0</v>
      </c>
      <c r="Q230" s="18">
        <v>3.2407407407407406E-2</v>
      </c>
      <c r="R230" s="116">
        <v>5</v>
      </c>
      <c r="S230" s="19" t="str">
        <f t="shared" ref="S230:S236" si="17">_xlfn.CONCAT(D230," (",TEXT(Q230,"0%"),")")</f>
        <v>2037603C (3%)</v>
      </c>
      <c r="T230" s="9">
        <f t="shared" si="14"/>
        <v>0</v>
      </c>
      <c r="U230" s="20" t="s">
        <v>1043</v>
      </c>
      <c r="V230" s="126" t="s">
        <v>1044</v>
      </c>
      <c r="W230" s="20" t="s">
        <v>1057</v>
      </c>
      <c r="X230" s="18">
        <v>1.3137254901960784</v>
      </c>
      <c r="Y230" s="18">
        <v>0.84404486763699482</v>
      </c>
      <c r="Z230" s="116">
        <v>4.88</v>
      </c>
      <c r="AA230" s="18"/>
      <c r="AB230" s="75"/>
    </row>
    <row r="231" spans="1:28">
      <c r="A231" s="6" t="s">
        <v>757</v>
      </c>
      <c r="B231" s="6" t="str">
        <f t="shared" si="16"/>
        <v>(SPL) Sanwaria Automotive Pvt. Ltd1468</v>
      </c>
      <c r="C231" s="6" t="s">
        <v>741</v>
      </c>
      <c r="D231" s="6" t="s">
        <v>738</v>
      </c>
      <c r="E231" s="5">
        <v>1468</v>
      </c>
      <c r="F231" s="3" t="s">
        <v>890</v>
      </c>
      <c r="G231" s="3" t="s">
        <v>744</v>
      </c>
      <c r="H231" s="3" t="s">
        <v>745</v>
      </c>
      <c r="I231" s="3"/>
      <c r="J231" s="9">
        <v>0</v>
      </c>
      <c r="K231" s="9">
        <v>100</v>
      </c>
      <c r="L231" s="9">
        <v>0</v>
      </c>
      <c r="M231" s="9">
        <v>0</v>
      </c>
      <c r="N231" s="9">
        <v>100</v>
      </c>
      <c r="O231" s="9">
        <v>100</v>
      </c>
      <c r="P231" s="9">
        <f t="shared" si="15"/>
        <v>300</v>
      </c>
      <c r="Q231" s="18">
        <v>0.33823529411764708</v>
      </c>
      <c r="R231" s="116" t="s">
        <v>1063</v>
      </c>
      <c r="S231" s="19" t="str">
        <f t="shared" si="17"/>
        <v>2041801C (34%)</v>
      </c>
      <c r="T231" s="9">
        <f t="shared" si="14"/>
        <v>101</v>
      </c>
      <c r="U231" s="20" t="s">
        <v>1039</v>
      </c>
      <c r="V231" s="126" t="s">
        <v>1045</v>
      </c>
      <c r="W231" s="20" t="s">
        <v>1055</v>
      </c>
      <c r="X231" s="18">
        <v>0.9</v>
      </c>
      <c r="Y231" s="18" t="s">
        <v>1066</v>
      </c>
      <c r="Z231" s="116">
        <v>5</v>
      </c>
      <c r="AA231" s="18"/>
      <c r="AB231" s="75"/>
    </row>
    <row r="232" spans="1:28">
      <c r="A232" s="6" t="s">
        <v>659</v>
      </c>
      <c r="B232" s="6" t="str">
        <f t="shared" si="16"/>
        <v>RN Mobility Pvt. Ltd.1862</v>
      </c>
      <c r="C232" s="6" t="s">
        <v>67</v>
      </c>
      <c r="D232" s="6">
        <v>10416</v>
      </c>
      <c r="E232" s="5">
        <v>1862</v>
      </c>
      <c r="F232" s="3" t="s">
        <v>889</v>
      </c>
      <c r="G232" s="3" t="s">
        <v>746</v>
      </c>
      <c r="H232" s="3" t="s">
        <v>747</v>
      </c>
      <c r="I232" s="3"/>
      <c r="J232" s="9">
        <v>0</v>
      </c>
      <c r="K232" s="9">
        <v>0</v>
      </c>
      <c r="L232" s="9">
        <v>0</v>
      </c>
      <c r="M232" s="9">
        <v>0</v>
      </c>
      <c r="N232" s="9">
        <v>0</v>
      </c>
      <c r="O232" s="9">
        <v>80</v>
      </c>
      <c r="P232" s="9">
        <f t="shared" si="15"/>
        <v>0</v>
      </c>
      <c r="Q232" s="18">
        <v>0.33333333333333331</v>
      </c>
      <c r="R232" s="116">
        <v>4.7</v>
      </c>
      <c r="S232" s="19" t="str">
        <f t="shared" si="17"/>
        <v>10416 (33%)</v>
      </c>
      <c r="T232" s="9">
        <f t="shared" si="14"/>
        <v>0</v>
      </c>
      <c r="U232" s="20" t="s">
        <v>1039</v>
      </c>
      <c r="V232" s="126" t="s">
        <v>1045</v>
      </c>
      <c r="W232" s="20" t="s">
        <v>1055</v>
      </c>
      <c r="X232" s="18">
        <v>1.125</v>
      </c>
      <c r="Y232" s="18" t="s">
        <v>1066</v>
      </c>
      <c r="Z232" s="116">
        <v>0</v>
      </c>
      <c r="AA232" s="18"/>
      <c r="AB232" s="75"/>
    </row>
    <row r="233" spans="1:28">
      <c r="A233" s="6" t="s">
        <v>754</v>
      </c>
      <c r="B233" s="6" t="str">
        <f t="shared" si="16"/>
        <v>Ramani Automotive Excellence Pvt. Ltd.1938</v>
      </c>
      <c r="C233" s="6" t="s">
        <v>742</v>
      </c>
      <c r="D233" s="6" t="s">
        <v>739</v>
      </c>
      <c r="E233" s="5">
        <v>1938</v>
      </c>
      <c r="F233" s="3" t="s">
        <v>890</v>
      </c>
      <c r="G233" s="3" t="s">
        <v>748</v>
      </c>
      <c r="H233" s="3" t="s">
        <v>216</v>
      </c>
      <c r="I233" s="3"/>
      <c r="J233" s="9">
        <v>0</v>
      </c>
      <c r="K233" s="9">
        <v>100</v>
      </c>
      <c r="L233" s="9">
        <v>0</v>
      </c>
      <c r="M233" s="9">
        <v>0</v>
      </c>
      <c r="N233" s="9">
        <v>80</v>
      </c>
      <c r="O233" s="9">
        <v>0</v>
      </c>
      <c r="P233" s="9">
        <f t="shared" si="15"/>
        <v>0</v>
      </c>
      <c r="Q233" s="18">
        <v>0.28125</v>
      </c>
      <c r="R233" s="116">
        <v>4.9000000000000004</v>
      </c>
      <c r="S233" s="19" t="str">
        <f t="shared" si="17"/>
        <v>1041101C (28%)</v>
      </c>
      <c r="T233" s="9">
        <f t="shared" si="14"/>
        <v>0</v>
      </c>
      <c r="U233" s="20" t="s">
        <v>1039</v>
      </c>
      <c r="V233" s="126" t="s">
        <v>1044</v>
      </c>
      <c r="W233" s="20" t="s">
        <v>1057</v>
      </c>
      <c r="X233" s="18">
        <v>3.6111111111111112</v>
      </c>
      <c r="Y233" s="18">
        <v>0.8940653767926986</v>
      </c>
      <c r="Z233" s="116">
        <v>4.5999999999999996</v>
      </c>
      <c r="AA233" s="18"/>
      <c r="AB233" s="75"/>
    </row>
    <row r="234" spans="1:28">
      <c r="A234" s="6" t="s">
        <v>754</v>
      </c>
      <c r="B234" s="6" t="str">
        <f t="shared" si="16"/>
        <v>Ramani Automotive Excellence Pvt. Ltd.1938</v>
      </c>
      <c r="C234" s="6" t="s">
        <v>742</v>
      </c>
      <c r="D234" s="6">
        <v>10411</v>
      </c>
      <c r="E234" s="5">
        <v>1938</v>
      </c>
      <c r="F234" s="3" t="s">
        <v>890</v>
      </c>
      <c r="G234" s="3" t="s">
        <v>749</v>
      </c>
      <c r="H234" s="3" t="s">
        <v>217</v>
      </c>
      <c r="I234" s="3"/>
      <c r="J234" s="9">
        <v>0</v>
      </c>
      <c r="K234" s="9">
        <v>100</v>
      </c>
      <c r="L234" s="9">
        <v>0</v>
      </c>
      <c r="M234" s="9">
        <v>0</v>
      </c>
      <c r="N234" s="9">
        <v>100</v>
      </c>
      <c r="O234" s="9">
        <v>0</v>
      </c>
      <c r="P234" s="9">
        <f t="shared" si="15"/>
        <v>0</v>
      </c>
      <c r="Q234" s="18">
        <v>0.71875</v>
      </c>
      <c r="R234" s="116">
        <v>5</v>
      </c>
      <c r="S234" s="19" t="str">
        <f t="shared" si="17"/>
        <v>10411 (72%)</v>
      </c>
      <c r="T234" s="9">
        <f t="shared" si="14"/>
        <v>0</v>
      </c>
      <c r="U234" s="20" t="s">
        <v>1039</v>
      </c>
      <c r="V234" s="126" t="s">
        <v>1044</v>
      </c>
      <c r="W234" s="20" t="s">
        <v>1041</v>
      </c>
      <c r="X234" s="18">
        <v>3.6111111111111112</v>
      </c>
      <c r="Y234" s="18">
        <v>0.8940653767926986</v>
      </c>
      <c r="Z234" s="116">
        <v>4.92</v>
      </c>
      <c r="AA234" s="18"/>
      <c r="AB234" s="75"/>
    </row>
    <row r="235" spans="1:28">
      <c r="A235" s="6" t="s">
        <v>755</v>
      </c>
      <c r="B235" s="6" t="str">
        <f t="shared" si="16"/>
        <v>Shyam Sangam Automobiles Pvt Ltd2021</v>
      </c>
      <c r="C235" s="6" t="s">
        <v>743</v>
      </c>
      <c r="D235" s="6">
        <v>10415</v>
      </c>
      <c r="E235" s="5">
        <v>2021</v>
      </c>
      <c r="F235" s="3" t="s">
        <v>889</v>
      </c>
      <c r="G235" s="3" t="s">
        <v>750</v>
      </c>
      <c r="H235" s="3" t="s">
        <v>376</v>
      </c>
      <c r="I235" s="3"/>
      <c r="J235" s="9">
        <v>0</v>
      </c>
      <c r="K235" s="9">
        <v>0</v>
      </c>
      <c r="L235" s="9">
        <v>0</v>
      </c>
      <c r="M235" s="9">
        <v>0</v>
      </c>
      <c r="N235" s="9">
        <v>0</v>
      </c>
      <c r="O235" s="9">
        <v>0</v>
      </c>
      <c r="P235" s="9">
        <f t="shared" si="15"/>
        <v>0</v>
      </c>
      <c r="Q235" s="18">
        <v>0.61904761904761907</v>
      </c>
      <c r="R235" s="116">
        <v>4.9000000000000004</v>
      </c>
      <c r="S235" s="19" t="str">
        <f t="shared" si="17"/>
        <v>10415 (62%)</v>
      </c>
      <c r="T235" s="9">
        <f t="shared" si="14"/>
        <v>0</v>
      </c>
      <c r="U235" s="20" t="s">
        <v>1039</v>
      </c>
      <c r="V235" s="126" t="s">
        <v>1045</v>
      </c>
      <c r="W235" s="20" t="s">
        <v>1059</v>
      </c>
      <c r="X235" s="18">
        <v>1.2105263157894737</v>
      </c>
      <c r="Y235" s="18" t="s">
        <v>1066</v>
      </c>
      <c r="Z235" s="116">
        <v>4.4800000000000004</v>
      </c>
      <c r="AA235" s="18"/>
      <c r="AB235" s="75"/>
    </row>
    <row r="236" spans="1:28">
      <c r="A236" s="6" t="s">
        <v>755</v>
      </c>
      <c r="B236" s="6" t="str">
        <f t="shared" si="16"/>
        <v>Shyam Sangam Automobiles Pvt Ltd2021</v>
      </c>
      <c r="C236" s="6" t="s">
        <v>743</v>
      </c>
      <c r="D236" s="6" t="s">
        <v>740</v>
      </c>
      <c r="E236" s="5">
        <v>2021</v>
      </c>
      <c r="F236" s="3" t="s">
        <v>889</v>
      </c>
      <c r="G236" s="3" t="s">
        <v>751</v>
      </c>
      <c r="H236" s="3" t="s">
        <v>376</v>
      </c>
      <c r="I236" s="3"/>
      <c r="J236" s="9">
        <v>0</v>
      </c>
      <c r="K236" s="9">
        <v>0</v>
      </c>
      <c r="L236" s="9">
        <v>0</v>
      </c>
      <c r="M236" s="9">
        <v>0</v>
      </c>
      <c r="N236" s="9">
        <v>0</v>
      </c>
      <c r="O236" s="9">
        <v>0</v>
      </c>
      <c r="P236" s="9">
        <f t="shared" si="15"/>
        <v>0</v>
      </c>
      <c r="Q236" s="18">
        <v>0.38095238095238093</v>
      </c>
      <c r="R236" s="116">
        <v>5</v>
      </c>
      <c r="S236" s="19" t="str">
        <f t="shared" si="17"/>
        <v>1041501A (38%)</v>
      </c>
      <c r="T236" s="9">
        <f t="shared" si="14"/>
        <v>0</v>
      </c>
      <c r="U236" s="20" t="s">
        <v>1039</v>
      </c>
      <c r="V236" s="126" t="s">
        <v>1045</v>
      </c>
      <c r="W236" s="20" t="s">
        <v>1055</v>
      </c>
      <c r="X236" s="18">
        <v>1.2105263157894737</v>
      </c>
      <c r="Y236" s="18" t="s">
        <v>1066</v>
      </c>
      <c r="Z236" s="116">
        <v>4.5199999999999996</v>
      </c>
      <c r="AA236" s="18"/>
      <c r="AB236" s="75"/>
    </row>
    <row r="237" spans="1:28">
      <c r="A237" s="6" t="s">
        <v>617</v>
      </c>
      <c r="B237" s="6" t="str">
        <f t="shared" si="16"/>
        <v>Berk Autozone LLP1221</v>
      </c>
      <c r="C237" s="6" t="s">
        <v>7</v>
      </c>
      <c r="D237" s="6" t="s">
        <v>763</v>
      </c>
      <c r="E237" s="5">
        <v>1221</v>
      </c>
      <c r="F237" s="3" t="s">
        <v>889</v>
      </c>
      <c r="G237" s="3" t="s">
        <v>441</v>
      </c>
      <c r="H237" s="3" t="s">
        <v>442</v>
      </c>
      <c r="I237" s="3"/>
      <c r="J237" s="9">
        <v>0</v>
      </c>
      <c r="K237" s="9">
        <v>100</v>
      </c>
      <c r="L237" s="9">
        <v>0</v>
      </c>
      <c r="M237" s="9">
        <v>0</v>
      </c>
      <c r="N237" s="9">
        <v>0</v>
      </c>
      <c r="O237" s="9">
        <v>0</v>
      </c>
      <c r="P237" s="9">
        <f t="shared" si="15"/>
        <v>0</v>
      </c>
      <c r="Q237" s="18">
        <v>0.18367346938775511</v>
      </c>
      <c r="R237" s="116">
        <v>5</v>
      </c>
      <c r="S237" s="19" t="str">
        <f t="shared" ref="S237:S241" si="18">_xlfn.CONCAT(D237," (",TEXT(Q237,"0%"),")")</f>
        <v>1039801A (18%)</v>
      </c>
      <c r="T237" s="9">
        <f t="shared" si="14"/>
        <v>0</v>
      </c>
      <c r="U237" s="20" t="s">
        <v>1043</v>
      </c>
      <c r="V237" s="126" t="s">
        <v>1045</v>
      </c>
      <c r="W237" s="20" t="s">
        <v>1055</v>
      </c>
      <c r="X237" s="18">
        <v>0.95652173913043481</v>
      </c>
      <c r="Y237" s="18" t="s">
        <v>1066</v>
      </c>
      <c r="Z237" s="116">
        <v>4.5599999999999996</v>
      </c>
      <c r="AA237" s="18"/>
      <c r="AB237" s="75"/>
    </row>
    <row r="238" spans="1:28">
      <c r="A238" s="6" t="s">
        <v>678</v>
      </c>
      <c r="B238" s="6" t="str">
        <f t="shared" si="16"/>
        <v>BLC Autosales Pvt Ltd+Sidak Automobiles1337</v>
      </c>
      <c r="C238" s="8" t="s">
        <v>8</v>
      </c>
      <c r="D238" s="6" t="s">
        <v>764</v>
      </c>
      <c r="E238" s="5">
        <v>1337</v>
      </c>
      <c r="F238" s="3" t="s">
        <v>889</v>
      </c>
      <c r="G238" s="3"/>
      <c r="H238" s="3" t="s">
        <v>1018</v>
      </c>
      <c r="I238" s="3"/>
      <c r="J238" s="9">
        <v>80</v>
      </c>
      <c r="K238" s="9">
        <v>100</v>
      </c>
      <c r="L238" s="9">
        <v>40</v>
      </c>
      <c r="M238" s="9">
        <v>0</v>
      </c>
      <c r="N238" s="9">
        <v>0</v>
      </c>
      <c r="O238" s="9">
        <v>0</v>
      </c>
      <c r="P238" s="9">
        <f t="shared" si="15"/>
        <v>0</v>
      </c>
      <c r="Q238" s="18">
        <v>9.0909090909090912E-2</v>
      </c>
      <c r="R238" s="116">
        <v>5</v>
      </c>
      <c r="S238" s="19" t="str">
        <f t="shared" si="18"/>
        <v>1010003A (9%)</v>
      </c>
      <c r="T238" s="9">
        <f t="shared" si="14"/>
        <v>0</v>
      </c>
      <c r="U238" s="20" t="s">
        <v>1043</v>
      </c>
      <c r="V238" s="126" t="s">
        <v>1045</v>
      </c>
      <c r="W238" s="20" t="s">
        <v>1055</v>
      </c>
      <c r="X238" s="18">
        <v>0.83471074380165289</v>
      </c>
      <c r="Y238" s="18" t="s">
        <v>1066</v>
      </c>
      <c r="Z238" s="116">
        <v>3</v>
      </c>
      <c r="AA238" s="18"/>
      <c r="AB238" s="75"/>
    </row>
    <row r="239" spans="1:28">
      <c r="A239" s="6" t="s">
        <v>672</v>
      </c>
      <c r="B239" s="6" t="str">
        <f t="shared" si="16"/>
        <v>Stellar Autohaus Pvt ltd  2358</v>
      </c>
      <c r="C239" s="6" t="s">
        <v>53</v>
      </c>
      <c r="D239" s="6" t="s">
        <v>765</v>
      </c>
      <c r="E239" s="5">
        <v>2358</v>
      </c>
      <c r="F239" s="3" t="s">
        <v>889</v>
      </c>
      <c r="G239" s="3"/>
      <c r="H239" s="3" t="s">
        <v>1019</v>
      </c>
      <c r="I239" s="3"/>
      <c r="J239" s="9">
        <v>0</v>
      </c>
      <c r="K239" s="9">
        <v>0</v>
      </c>
      <c r="L239" s="9">
        <v>40</v>
      </c>
      <c r="M239" s="9">
        <v>0</v>
      </c>
      <c r="N239" s="9">
        <v>100</v>
      </c>
      <c r="O239" s="9">
        <v>0</v>
      </c>
      <c r="P239" s="9">
        <f t="shared" si="15"/>
        <v>140</v>
      </c>
      <c r="Q239" s="18">
        <v>5.0209205020920501E-2</v>
      </c>
      <c r="R239" s="116">
        <v>4.8</v>
      </c>
      <c r="S239" s="19" t="str">
        <f t="shared" si="18"/>
        <v>2031604C (5%)</v>
      </c>
      <c r="T239" s="9">
        <f t="shared" si="14"/>
        <v>7</v>
      </c>
      <c r="U239" s="20" t="s">
        <v>1043</v>
      </c>
      <c r="V239" s="126" t="s">
        <v>1044</v>
      </c>
      <c r="W239" s="20" t="s">
        <v>1057</v>
      </c>
      <c r="X239" s="18">
        <v>0.96595744680851059</v>
      </c>
      <c r="Y239" s="18">
        <v>1.0630671856221343</v>
      </c>
      <c r="Z239" s="116">
        <v>5</v>
      </c>
      <c r="AA239" s="18"/>
      <c r="AB239" s="75"/>
    </row>
    <row r="240" spans="1:28">
      <c r="A240" s="6" t="s">
        <v>757</v>
      </c>
      <c r="B240" s="6" t="str">
        <f t="shared" si="16"/>
        <v>(SPL) Sanwaria Automotive Pvt. Ltd1468</v>
      </c>
      <c r="C240" s="6" t="s">
        <v>741</v>
      </c>
      <c r="D240" s="6">
        <v>10417</v>
      </c>
      <c r="E240" s="5">
        <v>1468</v>
      </c>
      <c r="F240" s="3" t="s">
        <v>890</v>
      </c>
      <c r="G240" s="3" t="s">
        <v>744</v>
      </c>
      <c r="H240" s="3" t="s">
        <v>745</v>
      </c>
      <c r="I240" s="3"/>
      <c r="J240" s="9">
        <v>100</v>
      </c>
      <c r="K240" s="9">
        <v>100</v>
      </c>
      <c r="L240" s="9">
        <v>0</v>
      </c>
      <c r="M240" s="9">
        <v>0</v>
      </c>
      <c r="N240" s="9">
        <v>0</v>
      </c>
      <c r="O240" s="9">
        <v>80</v>
      </c>
      <c r="P240" s="9">
        <f t="shared" si="15"/>
        <v>0</v>
      </c>
      <c r="Q240" s="18">
        <v>0.66176470588235292</v>
      </c>
      <c r="R240" s="116">
        <v>4.9000000000000004</v>
      </c>
      <c r="S240" s="19" t="str">
        <f t="shared" si="18"/>
        <v>10417 (66%)</v>
      </c>
      <c r="T240" s="9">
        <f t="shared" si="14"/>
        <v>0</v>
      </c>
      <c r="U240" s="20" t="s">
        <v>1039</v>
      </c>
      <c r="V240" s="126" t="s">
        <v>1045</v>
      </c>
      <c r="W240" s="20" t="s">
        <v>1059</v>
      </c>
      <c r="X240" s="18">
        <v>0.9</v>
      </c>
      <c r="Y240" s="18" t="s">
        <v>1066</v>
      </c>
      <c r="Z240" s="116">
        <v>4.5</v>
      </c>
      <c r="AA240" s="18"/>
      <c r="AB240" s="75"/>
    </row>
    <row r="241" spans="1:28">
      <c r="A241" s="6" t="s">
        <v>760</v>
      </c>
      <c r="B241" s="6" t="str">
        <f t="shared" si="16"/>
        <v>Buglee Automobiles Pvt. Ltd.3783</v>
      </c>
      <c r="C241" s="6" t="s">
        <v>690</v>
      </c>
      <c r="D241" s="6">
        <v>10420</v>
      </c>
      <c r="E241" s="5">
        <v>3783</v>
      </c>
      <c r="F241" s="3" t="s">
        <v>889</v>
      </c>
      <c r="G241" s="3" t="s">
        <v>926</v>
      </c>
      <c r="H241" s="3" t="s">
        <v>702</v>
      </c>
      <c r="I241" s="3"/>
      <c r="J241" s="9">
        <v>100</v>
      </c>
      <c r="K241" s="9">
        <v>100</v>
      </c>
      <c r="L241" s="9">
        <v>50</v>
      </c>
      <c r="M241" s="9">
        <v>0</v>
      </c>
      <c r="N241" s="9">
        <v>80</v>
      </c>
      <c r="O241" s="9">
        <v>80</v>
      </c>
      <c r="P241" s="9">
        <f t="shared" si="15"/>
        <v>0</v>
      </c>
      <c r="Q241" s="18">
        <v>0.4</v>
      </c>
      <c r="R241" s="116">
        <v>4.7</v>
      </c>
      <c r="S241" s="19" t="str">
        <f t="shared" si="18"/>
        <v>10420 (40%)</v>
      </c>
      <c r="T241" s="9">
        <f t="shared" si="14"/>
        <v>0</v>
      </c>
      <c r="U241" s="20" t="s">
        <v>1043</v>
      </c>
      <c r="V241" s="126" t="s">
        <v>1045</v>
      </c>
      <c r="W241" s="20" t="s">
        <v>1059</v>
      </c>
      <c r="X241" s="18">
        <v>0.66666666666666663</v>
      </c>
      <c r="Y241" s="18" t="s">
        <v>1066</v>
      </c>
      <c r="Z241" s="116">
        <v>4.7300000000000004</v>
      </c>
      <c r="AA241" s="18"/>
      <c r="AB241" s="75"/>
    </row>
    <row r="242" spans="1:28">
      <c r="A242" s="6" t="s">
        <v>652</v>
      </c>
      <c r="B242" s="6" t="str">
        <f t="shared" si="16"/>
        <v>Prem Garages Pvt. Ltd2861</v>
      </c>
      <c r="C242" s="102" t="s">
        <v>35</v>
      </c>
      <c r="D242" s="6" t="s">
        <v>776</v>
      </c>
      <c r="E242" s="5">
        <v>2861</v>
      </c>
      <c r="F242" s="3" t="s">
        <v>890</v>
      </c>
      <c r="G242" s="3"/>
      <c r="H242" s="3"/>
      <c r="I242" s="3"/>
      <c r="J242" s="9" t="s">
        <v>587</v>
      </c>
      <c r="K242" s="9" t="s">
        <v>587</v>
      </c>
      <c r="L242" s="9" t="s">
        <v>587</v>
      </c>
      <c r="M242" s="9" t="s">
        <v>587</v>
      </c>
      <c r="N242" s="9" t="s">
        <v>587</v>
      </c>
      <c r="O242" s="9" t="s">
        <v>587</v>
      </c>
      <c r="P242" s="9">
        <f t="shared" si="15"/>
        <v>0</v>
      </c>
      <c r="Q242" s="18">
        <v>0</v>
      </c>
      <c r="R242" s="116">
        <v>0</v>
      </c>
      <c r="S242" s="19" t="str">
        <f t="shared" ref="S242:S253" si="19">_xlfn.CONCAT(D242," (",TEXT(Q242,"0%"),")")</f>
        <v>1033601A (0%)</v>
      </c>
      <c r="T242" s="125">
        <v>0</v>
      </c>
      <c r="U242" s="20" t="s">
        <v>1043</v>
      </c>
      <c r="V242" s="126" t="s">
        <v>1045</v>
      </c>
      <c r="W242" s="20"/>
      <c r="X242" s="18">
        <v>0</v>
      </c>
      <c r="Y242" s="18">
        <v>0</v>
      </c>
      <c r="Z242" s="116">
        <v>0</v>
      </c>
      <c r="AA242" s="18"/>
      <c r="AB242" s="75"/>
    </row>
    <row r="243" spans="1:28">
      <c r="A243" s="6" t="s">
        <v>734</v>
      </c>
      <c r="B243" s="6" t="str">
        <f t="shared" si="16"/>
        <v>Karr Motor Ventures Pvt. Ltd1998</v>
      </c>
      <c r="C243" s="102" t="s">
        <v>699</v>
      </c>
      <c r="D243" s="6" t="s">
        <v>777</v>
      </c>
      <c r="E243" s="5">
        <v>1998</v>
      </c>
      <c r="F243" s="3" t="s">
        <v>890</v>
      </c>
      <c r="G243" s="3" t="s">
        <v>1020</v>
      </c>
      <c r="H243" s="3" t="s">
        <v>357</v>
      </c>
      <c r="I243" s="3"/>
      <c r="J243" s="9">
        <v>80</v>
      </c>
      <c r="K243" s="9">
        <v>100</v>
      </c>
      <c r="L243" s="9">
        <v>40</v>
      </c>
      <c r="M243" s="9">
        <v>50</v>
      </c>
      <c r="N243" s="9">
        <v>80</v>
      </c>
      <c r="O243" s="9">
        <v>0</v>
      </c>
      <c r="P243" s="9">
        <f t="shared" si="15"/>
        <v>350</v>
      </c>
      <c r="Q243" s="18">
        <v>0.34722222222222221</v>
      </c>
      <c r="R243" s="116">
        <v>4.9000000000000004</v>
      </c>
      <c r="S243" s="19" t="str">
        <f t="shared" si="19"/>
        <v>1041001A (35%)</v>
      </c>
      <c r="T243" s="9">
        <f t="shared" ref="T243:T253" si="20">ROUND((P243*Q243),0)</f>
        <v>122</v>
      </c>
      <c r="U243" s="20" t="s">
        <v>1039</v>
      </c>
      <c r="V243" s="126" t="s">
        <v>1045</v>
      </c>
      <c r="W243" s="20" t="s">
        <v>1055</v>
      </c>
      <c r="X243" s="18">
        <v>2.8</v>
      </c>
      <c r="Y243" s="18" t="s">
        <v>1066</v>
      </c>
      <c r="Z243" s="116">
        <v>4.71</v>
      </c>
      <c r="AA243" s="18"/>
      <c r="AB243" s="75"/>
    </row>
    <row r="244" spans="1:28">
      <c r="A244" s="6" t="s">
        <v>662</v>
      </c>
      <c r="B244" s="6" t="str">
        <f t="shared" si="16"/>
        <v>ShriBalaji AutoAgency Mysore Pvt. Ltd2168</v>
      </c>
      <c r="C244" s="102" t="s">
        <v>47</v>
      </c>
      <c r="D244" s="6" t="s">
        <v>778</v>
      </c>
      <c r="E244" s="5">
        <v>2168</v>
      </c>
      <c r="F244" s="3" t="s">
        <v>890</v>
      </c>
      <c r="G244" s="3" t="s">
        <v>720</v>
      </c>
      <c r="H244" s="3" t="s">
        <v>721</v>
      </c>
      <c r="I244" s="3" t="s">
        <v>465</v>
      </c>
      <c r="J244" s="9">
        <v>0</v>
      </c>
      <c r="K244" s="9">
        <v>0</v>
      </c>
      <c r="L244" s="9">
        <v>50</v>
      </c>
      <c r="M244" s="9">
        <v>0</v>
      </c>
      <c r="N244" s="9">
        <v>100</v>
      </c>
      <c r="O244" s="9">
        <v>0</v>
      </c>
      <c r="P244" s="9">
        <f t="shared" si="15"/>
        <v>0</v>
      </c>
      <c r="Q244" s="18">
        <v>0.1951219512195122</v>
      </c>
      <c r="R244" s="116">
        <v>4.5999999999999996</v>
      </c>
      <c r="S244" s="19" t="str">
        <f t="shared" si="19"/>
        <v>1034301C (20%)</v>
      </c>
      <c r="T244" s="9">
        <f t="shared" si="20"/>
        <v>0</v>
      </c>
      <c r="U244" s="20" t="s">
        <v>1043</v>
      </c>
      <c r="V244" s="126" t="s">
        <v>1044</v>
      </c>
      <c r="W244" s="20" t="s">
        <v>1057</v>
      </c>
      <c r="X244" s="18">
        <v>0.80487804878048785</v>
      </c>
      <c r="Y244" s="18">
        <v>1.0508960846560855</v>
      </c>
      <c r="Z244" s="116">
        <v>4.93</v>
      </c>
      <c r="AA244" s="18"/>
      <c r="AB244" s="75"/>
    </row>
    <row r="245" spans="1:28">
      <c r="A245" s="6" t="s">
        <v>837</v>
      </c>
      <c r="B245" s="6" t="str">
        <f t="shared" si="16"/>
        <v>KNS Vinayak Autoventures Pvt Ltd5957</v>
      </c>
      <c r="C245" s="102" t="s">
        <v>829</v>
      </c>
      <c r="D245" s="6">
        <v>10419</v>
      </c>
      <c r="E245" s="5">
        <v>5957</v>
      </c>
      <c r="F245" s="3" t="s">
        <v>889</v>
      </c>
      <c r="G245" s="3" t="s">
        <v>1021</v>
      </c>
      <c r="H245" s="3" t="s">
        <v>1022</v>
      </c>
      <c r="I245" s="3"/>
      <c r="J245" s="9">
        <v>0</v>
      </c>
      <c r="K245" s="9">
        <v>0</v>
      </c>
      <c r="L245" s="9">
        <v>50</v>
      </c>
      <c r="M245" s="9">
        <v>0</v>
      </c>
      <c r="N245" s="9">
        <v>0</v>
      </c>
      <c r="O245" s="9">
        <v>80</v>
      </c>
      <c r="P245" s="9">
        <f t="shared" si="15"/>
        <v>0</v>
      </c>
      <c r="Q245" s="18">
        <v>0.28260869565217389</v>
      </c>
      <c r="R245" s="116">
        <v>4.8</v>
      </c>
      <c r="S245" s="19" t="str">
        <f t="shared" si="19"/>
        <v>10419 (28%)</v>
      </c>
      <c r="T245" s="9">
        <f t="shared" si="20"/>
        <v>0</v>
      </c>
      <c r="U245" s="20" t="s">
        <v>1039</v>
      </c>
      <c r="V245" s="126" t="s">
        <v>1044</v>
      </c>
      <c r="W245" s="20" t="s">
        <v>1040</v>
      </c>
      <c r="X245" s="18">
        <v>1.1162790697674418</v>
      </c>
      <c r="Y245" s="18">
        <v>1.7589711269841271</v>
      </c>
      <c r="Z245" s="116">
        <v>0</v>
      </c>
      <c r="AA245" s="18"/>
      <c r="AB245" s="75"/>
    </row>
    <row r="246" spans="1:28">
      <c r="A246" s="6" t="s">
        <v>837</v>
      </c>
      <c r="B246" s="6" t="str">
        <f t="shared" si="16"/>
        <v>KNS Vinayak Autoventures Pvt Ltd5957</v>
      </c>
      <c r="C246" s="102" t="s">
        <v>829</v>
      </c>
      <c r="D246" s="6" t="s">
        <v>867</v>
      </c>
      <c r="E246" s="5">
        <v>5957</v>
      </c>
      <c r="F246" s="3" t="s">
        <v>889</v>
      </c>
      <c r="G246" s="3" t="s">
        <v>868</v>
      </c>
      <c r="H246" s="3" t="s">
        <v>403</v>
      </c>
      <c r="I246" s="3"/>
      <c r="J246" s="9">
        <v>0</v>
      </c>
      <c r="K246" s="9">
        <v>0</v>
      </c>
      <c r="L246" s="9">
        <v>50</v>
      </c>
      <c r="M246" s="9">
        <v>0</v>
      </c>
      <c r="N246" s="9">
        <v>0</v>
      </c>
      <c r="O246" s="9">
        <v>0</v>
      </c>
      <c r="P246" s="9">
        <f t="shared" si="15"/>
        <v>0</v>
      </c>
      <c r="Q246" s="18">
        <v>0.52173913043478259</v>
      </c>
      <c r="R246" s="116">
        <v>4.8</v>
      </c>
      <c r="S246" s="19" t="str">
        <f t="shared" si="19"/>
        <v>1041902C (52%)</v>
      </c>
      <c r="T246" s="9">
        <f t="shared" si="20"/>
        <v>0</v>
      </c>
      <c r="U246" s="20" t="s">
        <v>1039</v>
      </c>
      <c r="V246" s="126" t="s">
        <v>1045</v>
      </c>
      <c r="W246" s="20" t="s">
        <v>1055</v>
      </c>
      <c r="X246" s="18">
        <v>1.1162790697674418</v>
      </c>
      <c r="Y246" s="18" t="s">
        <v>1066</v>
      </c>
      <c r="Z246" s="116">
        <v>0</v>
      </c>
      <c r="AA246" s="18"/>
      <c r="AB246" s="75"/>
    </row>
    <row r="247" spans="1:28">
      <c r="A247" s="6" t="s">
        <v>671</v>
      </c>
      <c r="B247" s="6" t="str">
        <f t="shared" si="16"/>
        <v>SSB Automobiles Pvt Ltd2343</v>
      </c>
      <c r="C247" s="102" t="s">
        <v>52</v>
      </c>
      <c r="D247" s="6" t="s">
        <v>871</v>
      </c>
      <c r="E247" s="5">
        <v>2343</v>
      </c>
      <c r="F247" s="3" t="s">
        <v>890</v>
      </c>
      <c r="G247" s="3" t="s">
        <v>1023</v>
      </c>
      <c r="H247" s="3" t="s">
        <v>1024</v>
      </c>
      <c r="I247" s="3"/>
      <c r="J247" s="9">
        <v>0</v>
      </c>
      <c r="K247" s="9">
        <v>100</v>
      </c>
      <c r="L247" s="9">
        <v>0</v>
      </c>
      <c r="M247" s="9">
        <v>0</v>
      </c>
      <c r="N247" s="9">
        <v>100</v>
      </c>
      <c r="O247" s="9">
        <v>0</v>
      </c>
      <c r="P247" s="9">
        <f t="shared" si="15"/>
        <v>200</v>
      </c>
      <c r="Q247" s="18">
        <v>8.247422680412371E-2</v>
      </c>
      <c r="R247" s="116">
        <v>5</v>
      </c>
      <c r="S247" s="19" t="str">
        <f t="shared" si="19"/>
        <v>1034605C (8%)</v>
      </c>
      <c r="T247" s="9">
        <f t="shared" si="20"/>
        <v>16</v>
      </c>
      <c r="U247" s="20" t="s">
        <v>1043</v>
      </c>
      <c r="V247" s="126" t="s">
        <v>1044</v>
      </c>
      <c r="W247" s="20" t="s">
        <v>1057</v>
      </c>
      <c r="X247" s="18">
        <v>1.1395348837209303</v>
      </c>
      <c r="Y247" s="18">
        <v>0.97705378694158118</v>
      </c>
      <c r="Z247" s="116">
        <v>4.91</v>
      </c>
      <c r="AA247" s="18"/>
      <c r="AB247" s="75"/>
    </row>
    <row r="248" spans="1:28">
      <c r="A248" s="6" t="s">
        <v>878</v>
      </c>
      <c r="B248" s="6" t="str">
        <f t="shared" si="16"/>
        <v>N.K. Motocorp Private Limited2706</v>
      </c>
      <c r="C248" s="102" t="s">
        <v>877</v>
      </c>
      <c r="D248" s="6">
        <v>10422</v>
      </c>
      <c r="E248" s="5">
        <v>2706</v>
      </c>
      <c r="F248" s="3" t="s">
        <v>889</v>
      </c>
      <c r="G248" s="3" t="s">
        <v>1025</v>
      </c>
      <c r="H248" s="3" t="s">
        <v>1026</v>
      </c>
      <c r="I248" s="3"/>
      <c r="J248" s="9">
        <v>0</v>
      </c>
      <c r="K248" s="9">
        <v>0</v>
      </c>
      <c r="L248" s="9">
        <v>40</v>
      </c>
      <c r="M248" s="9">
        <v>0</v>
      </c>
      <c r="N248" s="9">
        <v>0</v>
      </c>
      <c r="O248" s="9">
        <v>0</v>
      </c>
      <c r="P248" s="9">
        <f t="shared" si="15"/>
        <v>0</v>
      </c>
      <c r="Q248" s="18">
        <v>1</v>
      </c>
      <c r="R248" s="116">
        <v>4.8</v>
      </c>
      <c r="S248" s="19" t="str">
        <f t="shared" si="19"/>
        <v>10422 (100%)</v>
      </c>
      <c r="T248" s="9">
        <f t="shared" si="20"/>
        <v>0</v>
      </c>
      <c r="U248" s="20" t="s">
        <v>1039</v>
      </c>
      <c r="V248" s="126" t="s">
        <v>1045</v>
      </c>
      <c r="W248" s="20" t="s">
        <v>1059</v>
      </c>
      <c r="X248" s="18">
        <v>0.55555555555555558</v>
      </c>
      <c r="Y248" s="18" t="s">
        <v>1066</v>
      </c>
      <c r="Z248" s="116">
        <v>0</v>
      </c>
      <c r="AA248" s="18"/>
      <c r="AB248" s="75"/>
    </row>
    <row r="249" spans="1:28">
      <c r="A249" s="6" t="s">
        <v>638</v>
      </c>
      <c r="B249" s="6" t="str">
        <f t="shared" si="16"/>
        <v>Krishna Auto Sales 1094</v>
      </c>
      <c r="C249" s="102" t="s">
        <v>29</v>
      </c>
      <c r="D249" s="6" t="s">
        <v>872</v>
      </c>
      <c r="E249" s="5">
        <v>1094</v>
      </c>
      <c r="F249" s="3" t="s">
        <v>889</v>
      </c>
      <c r="G249" s="3" t="s">
        <v>1027</v>
      </c>
      <c r="H249" s="3" t="s">
        <v>1028</v>
      </c>
      <c r="I249" s="3"/>
      <c r="J249" s="9">
        <v>0</v>
      </c>
      <c r="K249" s="9">
        <v>100</v>
      </c>
      <c r="L249" s="9">
        <v>40</v>
      </c>
      <c r="M249" s="9">
        <v>50</v>
      </c>
      <c r="N249" s="9">
        <v>100</v>
      </c>
      <c r="O249" s="9">
        <v>100</v>
      </c>
      <c r="P249" s="9">
        <f t="shared" si="15"/>
        <v>390</v>
      </c>
      <c r="Q249" s="18">
        <v>0.10144927536231885</v>
      </c>
      <c r="R249" s="116">
        <v>5</v>
      </c>
      <c r="S249" s="19" t="str">
        <f t="shared" si="19"/>
        <v>1001801C (10%)</v>
      </c>
      <c r="T249" s="9">
        <f t="shared" si="20"/>
        <v>40</v>
      </c>
      <c r="U249" s="20" t="s">
        <v>1043</v>
      </c>
      <c r="V249" s="126" t="s">
        <v>1044</v>
      </c>
      <c r="W249" s="20" t="s">
        <v>1057</v>
      </c>
      <c r="X249" s="18">
        <v>1.0962962962962963</v>
      </c>
      <c r="Y249" s="18">
        <v>1.0855080994940978</v>
      </c>
      <c r="Z249" s="116">
        <v>4.9299999999999988</v>
      </c>
      <c r="AA249" s="18"/>
      <c r="AB249" s="75"/>
    </row>
    <row r="250" spans="1:28">
      <c r="A250" s="6" t="s">
        <v>638</v>
      </c>
      <c r="B250" s="6" t="str">
        <f t="shared" si="16"/>
        <v>Krishna Auto Sales 1094</v>
      </c>
      <c r="C250" s="102" t="s">
        <v>29</v>
      </c>
      <c r="D250" s="6" t="s">
        <v>873</v>
      </c>
      <c r="E250" s="5">
        <v>1094</v>
      </c>
      <c r="F250" s="3" t="s">
        <v>889</v>
      </c>
      <c r="G250" s="3" t="s">
        <v>1029</v>
      </c>
      <c r="H250" s="3" t="s">
        <v>315</v>
      </c>
      <c r="I250" s="3"/>
      <c r="J250" s="9">
        <v>80</v>
      </c>
      <c r="K250" s="9">
        <v>0</v>
      </c>
      <c r="L250" s="9">
        <v>40</v>
      </c>
      <c r="M250" s="9">
        <v>50</v>
      </c>
      <c r="N250" s="9">
        <v>100</v>
      </c>
      <c r="O250" s="9">
        <v>0</v>
      </c>
      <c r="P250" s="9">
        <f t="shared" si="15"/>
        <v>270</v>
      </c>
      <c r="Q250" s="18">
        <v>0.10144927536231885</v>
      </c>
      <c r="R250" s="116">
        <v>4.9000000000000004</v>
      </c>
      <c r="S250" s="19" t="str">
        <f t="shared" si="19"/>
        <v>1001701A (10%)</v>
      </c>
      <c r="T250" s="9">
        <f t="shared" si="20"/>
        <v>27</v>
      </c>
      <c r="U250" s="20" t="s">
        <v>1043</v>
      </c>
      <c r="V250" s="126" t="s">
        <v>1045</v>
      </c>
      <c r="W250" s="20" t="s">
        <v>1060</v>
      </c>
      <c r="X250" s="18">
        <v>1.0962962962962963</v>
      </c>
      <c r="Y250" s="18" t="s">
        <v>1066</v>
      </c>
      <c r="Z250" s="116">
        <v>4.9299999999999988</v>
      </c>
      <c r="AA250" s="18"/>
      <c r="AB250" s="75"/>
    </row>
    <row r="251" spans="1:28">
      <c r="A251" s="6" t="s">
        <v>642</v>
      </c>
      <c r="B251" s="6" t="str">
        <f t="shared" si="16"/>
        <v>MM Auto Sales Pvt Ltd.2958</v>
      </c>
      <c r="C251" s="102" t="s">
        <v>31</v>
      </c>
      <c r="D251" s="6" t="s">
        <v>874</v>
      </c>
      <c r="E251" s="5">
        <v>2958</v>
      </c>
      <c r="F251" s="3" t="s">
        <v>890</v>
      </c>
      <c r="G251" s="3" t="s">
        <v>1030</v>
      </c>
      <c r="H251" s="3" t="s">
        <v>1031</v>
      </c>
      <c r="I251" s="3"/>
      <c r="J251" s="9">
        <v>0</v>
      </c>
      <c r="K251" s="9">
        <v>80</v>
      </c>
      <c r="L251" s="9">
        <v>0</v>
      </c>
      <c r="M251" s="9">
        <v>0</v>
      </c>
      <c r="N251" s="9">
        <v>100</v>
      </c>
      <c r="O251" s="9">
        <v>0</v>
      </c>
      <c r="P251" s="9">
        <f t="shared" si="15"/>
        <v>0</v>
      </c>
      <c r="Q251" s="18">
        <v>0.34482758620689657</v>
      </c>
      <c r="R251" s="116">
        <v>5</v>
      </c>
      <c r="S251" s="19" t="str">
        <f t="shared" si="19"/>
        <v>1039301C (34%)</v>
      </c>
      <c r="T251" s="9">
        <f t="shared" si="20"/>
        <v>0</v>
      </c>
      <c r="U251" s="20" t="s">
        <v>1043</v>
      </c>
      <c r="V251" s="126" t="s">
        <v>1045</v>
      </c>
      <c r="W251" s="20" t="s">
        <v>1060</v>
      </c>
      <c r="X251" s="18">
        <v>0.75609756097560976</v>
      </c>
      <c r="Y251" s="18" t="s">
        <v>1066</v>
      </c>
      <c r="Z251" s="116">
        <v>4.91</v>
      </c>
      <c r="AA251" s="18"/>
      <c r="AB251" s="75"/>
    </row>
    <row r="252" spans="1:28">
      <c r="A252" s="6" t="s">
        <v>837</v>
      </c>
      <c r="B252" s="6" t="str">
        <f t="shared" si="16"/>
        <v>KNS Vinayak Autoventures Pvt Ltd5957</v>
      </c>
      <c r="C252" s="102" t="s">
        <v>829</v>
      </c>
      <c r="D252" s="6" t="s">
        <v>875</v>
      </c>
      <c r="E252" s="5">
        <v>5957</v>
      </c>
      <c r="F252" s="3" t="s">
        <v>889</v>
      </c>
      <c r="G252" s="3" t="s">
        <v>1032</v>
      </c>
      <c r="H252" s="3" t="s">
        <v>1033</v>
      </c>
      <c r="I252" s="3"/>
      <c r="J252" s="9">
        <v>0</v>
      </c>
      <c r="K252" s="9">
        <v>0</v>
      </c>
      <c r="L252" s="9">
        <v>50</v>
      </c>
      <c r="M252" s="9">
        <v>0</v>
      </c>
      <c r="N252" s="9">
        <v>0</v>
      </c>
      <c r="O252" s="9">
        <v>0</v>
      </c>
      <c r="P252" s="9">
        <f t="shared" si="15"/>
        <v>0</v>
      </c>
      <c r="Q252" s="18">
        <v>0.19565217391304349</v>
      </c>
      <c r="R252" s="116">
        <v>5</v>
      </c>
      <c r="S252" s="19" t="str">
        <f t="shared" si="19"/>
        <v>1041903C (20%)</v>
      </c>
      <c r="T252" s="9">
        <f t="shared" si="20"/>
        <v>0</v>
      </c>
      <c r="U252" s="20" t="s">
        <v>1039</v>
      </c>
      <c r="V252" s="126" t="s">
        <v>1044</v>
      </c>
      <c r="W252" s="20" t="s">
        <v>1057</v>
      </c>
      <c r="X252" s="18">
        <v>1.1162790697674418</v>
      </c>
      <c r="Y252" s="18">
        <v>1.7589711269841271</v>
      </c>
      <c r="Z252" s="116">
        <v>0</v>
      </c>
      <c r="AA252" s="18"/>
      <c r="AB252" s="75"/>
    </row>
    <row r="253" spans="1:28">
      <c r="A253" s="6" t="s">
        <v>732</v>
      </c>
      <c r="B253" s="6" t="str">
        <f t="shared" si="16"/>
        <v>Gurukrupa Cars Pvt. Ltd.4121</v>
      </c>
      <c r="C253" s="102" t="s">
        <v>698</v>
      </c>
      <c r="D253" s="6" t="s">
        <v>876</v>
      </c>
      <c r="E253" s="5">
        <v>4121</v>
      </c>
      <c r="F253" s="3" t="s">
        <v>889</v>
      </c>
      <c r="G253" s="3" t="s">
        <v>1034</v>
      </c>
      <c r="H253" s="3" t="s">
        <v>1035</v>
      </c>
      <c r="I253" s="3"/>
      <c r="J253" s="9">
        <v>0</v>
      </c>
      <c r="K253" s="9">
        <v>0</v>
      </c>
      <c r="L253" s="9">
        <v>0</v>
      </c>
      <c r="M253" s="9">
        <v>50</v>
      </c>
      <c r="N253" s="9">
        <v>0</v>
      </c>
      <c r="O253" s="9">
        <v>0</v>
      </c>
      <c r="P253" s="9">
        <f t="shared" si="15"/>
        <v>0</v>
      </c>
      <c r="Q253" s="18">
        <v>0.28000000000000003</v>
      </c>
      <c r="R253" s="116">
        <v>5</v>
      </c>
      <c r="S253" s="19" t="str">
        <f t="shared" si="19"/>
        <v>1040502C (28%)</v>
      </c>
      <c r="T253" s="9">
        <f t="shared" si="20"/>
        <v>0</v>
      </c>
      <c r="U253" s="20" t="s">
        <v>1039</v>
      </c>
      <c r="V253" s="126" t="s">
        <v>1044</v>
      </c>
      <c r="W253" s="20" t="s">
        <v>1057</v>
      </c>
      <c r="X253" s="18">
        <v>2.4615384615384617</v>
      </c>
      <c r="Y253" s="18">
        <v>1.3159245813953491</v>
      </c>
      <c r="Z253" s="116">
        <v>4.4000000000000004</v>
      </c>
      <c r="AA253" s="18"/>
      <c r="AB253" s="75"/>
    </row>
    <row r="254" spans="1:28">
      <c r="A254" s="6" t="s">
        <v>883</v>
      </c>
      <c r="B254" s="6" t="str">
        <f t="shared" si="16"/>
        <v>Dunac Autoworld Private Limited2003</v>
      </c>
      <c r="C254" s="102" t="s">
        <v>884</v>
      </c>
      <c r="D254" s="6">
        <v>10423</v>
      </c>
      <c r="E254" s="5">
        <v>2003</v>
      </c>
      <c r="F254" s="3" t="s">
        <v>889</v>
      </c>
      <c r="G254" s="3" t="s">
        <v>1036</v>
      </c>
      <c r="H254" s="3" t="s">
        <v>1037</v>
      </c>
      <c r="I254" s="3"/>
      <c r="J254" s="9">
        <v>0</v>
      </c>
      <c r="K254" s="9">
        <v>0</v>
      </c>
      <c r="L254" s="9">
        <v>0</v>
      </c>
      <c r="M254" s="9">
        <v>50</v>
      </c>
      <c r="N254" s="9">
        <v>80</v>
      </c>
      <c r="O254" s="9">
        <v>100</v>
      </c>
      <c r="P254" s="9">
        <f t="shared" si="15"/>
        <v>230</v>
      </c>
      <c r="Q254" s="18">
        <v>1</v>
      </c>
      <c r="R254" s="116">
        <v>5</v>
      </c>
      <c r="S254" s="19" t="str">
        <f t="shared" ref="S254:S260" si="21">_xlfn.CONCAT(D254," (",TEXT(Q254,"0%"),")")</f>
        <v>10423 (100%)</v>
      </c>
      <c r="T254" s="9">
        <f t="shared" ref="T254:T260" si="22">ROUND((P254*Q254),0)</f>
        <v>230</v>
      </c>
      <c r="U254" s="20" t="s">
        <v>1039</v>
      </c>
      <c r="V254" s="126" t="s">
        <v>1045</v>
      </c>
      <c r="W254" s="20" t="s">
        <v>1060</v>
      </c>
      <c r="X254" s="18">
        <v>1.0909090909090908</v>
      </c>
      <c r="Y254" s="18" t="s">
        <v>1066</v>
      </c>
      <c r="Z254" s="116">
        <v>4.67</v>
      </c>
      <c r="AA254" s="18"/>
      <c r="AB254" s="75"/>
    </row>
    <row r="255" spans="1:28">
      <c r="A255" s="6" t="s">
        <v>730</v>
      </c>
      <c r="B255" s="6" t="str">
        <f t="shared" si="16"/>
        <v>Dhone Mobility Pvt. Ltd.2398</v>
      </c>
      <c r="C255" s="102" t="s">
        <v>697</v>
      </c>
      <c r="D255" s="6" t="s">
        <v>1071</v>
      </c>
      <c r="E255" s="5">
        <f>VLOOKUP(A255,$A$3:$E$248,5,FALSE)</f>
        <v>2398</v>
      </c>
      <c r="F255" s="3" t="s">
        <v>889</v>
      </c>
      <c r="G255" s="3" t="s">
        <v>1072</v>
      </c>
      <c r="H255" s="3" t="s">
        <v>1073</v>
      </c>
      <c r="I255" s="3"/>
      <c r="J255" s="9">
        <v>0</v>
      </c>
      <c r="K255" s="9">
        <v>0</v>
      </c>
      <c r="L255" s="9">
        <v>0</v>
      </c>
      <c r="M255" s="9">
        <v>50</v>
      </c>
      <c r="N255" s="9">
        <v>80</v>
      </c>
      <c r="O255" s="9">
        <v>0</v>
      </c>
      <c r="P255" s="9">
        <f t="shared" si="15"/>
        <v>130</v>
      </c>
      <c r="Q255" s="18">
        <v>0.12643678160919541</v>
      </c>
      <c r="R255" s="116">
        <v>5</v>
      </c>
      <c r="S255" s="19" t="str">
        <f t="shared" si="21"/>
        <v>1040701C (13%)</v>
      </c>
      <c r="T255" s="9">
        <f t="shared" si="22"/>
        <v>16</v>
      </c>
      <c r="U255" s="20" t="s">
        <v>1043</v>
      </c>
      <c r="V255" s="126" t="s">
        <v>1045</v>
      </c>
      <c r="W255" s="20" t="s">
        <v>1055</v>
      </c>
      <c r="X255" s="18">
        <v>1.223529411764706</v>
      </c>
      <c r="Y255" s="18" t="s">
        <v>1066</v>
      </c>
      <c r="Z255" s="116">
        <v>4.7699999999999996</v>
      </c>
      <c r="AA255" s="18"/>
      <c r="AB255" s="75"/>
    </row>
    <row r="256" spans="1:28">
      <c r="A256" s="6" t="s">
        <v>622</v>
      </c>
      <c r="B256" s="6" t="str">
        <f t="shared" si="16"/>
        <v>(Trinity) Durgesh Motors Pvt. Ltd. 4496</v>
      </c>
      <c r="C256" s="102" t="s">
        <v>2</v>
      </c>
      <c r="D256" s="6" t="s">
        <v>1074</v>
      </c>
      <c r="E256" s="5">
        <f>VLOOKUP(A256,$A$3:$E$248,5,FALSE)</f>
        <v>4496</v>
      </c>
      <c r="F256" s="3" t="s">
        <v>890</v>
      </c>
      <c r="G256" s="3" t="s">
        <v>1075</v>
      </c>
      <c r="H256" s="3" t="s">
        <v>1076</v>
      </c>
      <c r="I256" s="3"/>
      <c r="J256" s="9">
        <v>0</v>
      </c>
      <c r="K256" s="9">
        <v>0</v>
      </c>
      <c r="L256" s="9">
        <v>0</v>
      </c>
      <c r="M256" s="9">
        <v>50</v>
      </c>
      <c r="N256" s="9">
        <v>100</v>
      </c>
      <c r="O256" s="9">
        <v>0</v>
      </c>
      <c r="P256" s="9">
        <f t="shared" si="15"/>
        <v>150</v>
      </c>
      <c r="Q256" s="18">
        <v>0.12328767123287671</v>
      </c>
      <c r="R256" s="116">
        <v>5</v>
      </c>
      <c r="S256" s="19" t="str">
        <f t="shared" si="21"/>
        <v>1029603C (12%)</v>
      </c>
      <c r="T256" s="9">
        <f t="shared" si="22"/>
        <v>18</v>
      </c>
      <c r="U256" s="20" t="s">
        <v>1043</v>
      </c>
      <c r="V256" s="126" t="s">
        <v>1045</v>
      </c>
      <c r="W256" s="20" t="s">
        <v>1055</v>
      </c>
      <c r="X256" s="18">
        <v>0.92380952380952386</v>
      </c>
      <c r="Y256" s="18" t="s">
        <v>1066</v>
      </c>
      <c r="Z256" s="116">
        <v>5</v>
      </c>
      <c r="AA256" s="18"/>
      <c r="AB256" s="75"/>
    </row>
    <row r="257" spans="1:28">
      <c r="A257" s="6" t="s">
        <v>1068</v>
      </c>
      <c r="B257" s="6" t="str">
        <f t="shared" si="16"/>
        <v>Krown Mobility Private Limited1102</v>
      </c>
      <c r="C257" s="102" t="s">
        <v>1069</v>
      </c>
      <c r="D257" s="6">
        <v>10424</v>
      </c>
      <c r="E257" s="5">
        <v>1102</v>
      </c>
      <c r="F257" s="3" t="s">
        <v>889</v>
      </c>
      <c r="G257" s="3" t="s">
        <v>1077</v>
      </c>
      <c r="H257" s="3" t="s">
        <v>1078</v>
      </c>
      <c r="I257" s="3"/>
      <c r="J257" s="9">
        <v>0</v>
      </c>
      <c r="K257" s="9">
        <v>0</v>
      </c>
      <c r="L257" s="9">
        <v>0</v>
      </c>
      <c r="M257" s="9">
        <v>0</v>
      </c>
      <c r="N257" s="9">
        <v>0</v>
      </c>
      <c r="O257" s="9">
        <v>0</v>
      </c>
      <c r="P257" s="9">
        <f t="shared" si="15"/>
        <v>0</v>
      </c>
      <c r="Q257" s="18">
        <v>1</v>
      </c>
      <c r="R257" s="116" t="s">
        <v>1063</v>
      </c>
      <c r="S257" s="19" t="str">
        <f t="shared" si="21"/>
        <v>10424 (100%)</v>
      </c>
      <c r="T257" s="9">
        <f t="shared" si="22"/>
        <v>0</v>
      </c>
      <c r="U257" s="20" t="s">
        <v>1039</v>
      </c>
      <c r="V257" s="126" t="s">
        <v>1044</v>
      </c>
      <c r="W257" s="20" t="s">
        <v>1041</v>
      </c>
      <c r="X257" s="18">
        <v>1.588235294117647</v>
      </c>
      <c r="Y257" s="18">
        <v>1</v>
      </c>
      <c r="Z257" s="116">
        <v>0</v>
      </c>
      <c r="AA257" s="18"/>
      <c r="AB257" s="75"/>
    </row>
    <row r="258" spans="1:28">
      <c r="A258" s="6" t="s">
        <v>1068</v>
      </c>
      <c r="B258" s="6" t="str">
        <f t="shared" si="16"/>
        <v>Krown Mobility Private Limited1102</v>
      </c>
      <c r="C258" s="102" t="s">
        <v>1069</v>
      </c>
      <c r="D258" s="6" t="s">
        <v>1079</v>
      </c>
      <c r="E258" s="5">
        <v>1102</v>
      </c>
      <c r="F258" s="3" t="s">
        <v>889</v>
      </c>
      <c r="G258" s="3" t="s">
        <v>1080</v>
      </c>
      <c r="H258" s="3" t="s">
        <v>1081</v>
      </c>
      <c r="I258" s="3"/>
      <c r="J258" s="9">
        <v>0</v>
      </c>
      <c r="K258" s="9">
        <v>0</v>
      </c>
      <c r="L258" s="9">
        <v>0</v>
      </c>
      <c r="M258" s="9">
        <v>0</v>
      </c>
      <c r="N258" s="9">
        <v>0</v>
      </c>
      <c r="O258" s="9">
        <v>0</v>
      </c>
      <c r="P258" s="9">
        <f t="shared" si="15"/>
        <v>0</v>
      </c>
      <c r="Q258" s="18">
        <v>0</v>
      </c>
      <c r="R258" s="116" t="s">
        <v>1063</v>
      </c>
      <c r="S258" s="19" t="str">
        <f t="shared" si="21"/>
        <v>1042402A (0%)</v>
      </c>
      <c r="T258" s="9">
        <f t="shared" si="22"/>
        <v>0</v>
      </c>
      <c r="U258" s="20" t="s">
        <v>1039</v>
      </c>
      <c r="V258" s="126" t="s">
        <v>1045</v>
      </c>
      <c r="W258" s="20" t="s">
        <v>1055</v>
      </c>
      <c r="X258" s="18">
        <v>1.588235294117647</v>
      </c>
      <c r="Y258" s="18" t="s">
        <v>1066</v>
      </c>
      <c r="Z258" s="116">
        <v>0</v>
      </c>
      <c r="AA258" s="18"/>
      <c r="AB258" s="75"/>
    </row>
    <row r="259" spans="1:28">
      <c r="A259" s="6" t="s">
        <v>1082</v>
      </c>
      <c r="B259" s="6" t="str">
        <f t="shared" si="16"/>
        <v>Mody India Cars Pvt Ltd_TL3117</v>
      </c>
      <c r="C259" s="102" t="s">
        <v>61</v>
      </c>
      <c r="D259" s="6" t="s">
        <v>1083</v>
      </c>
      <c r="E259" s="5">
        <f>VLOOKUP(A259,$A$3:$E$248,5,FALSE)</f>
        <v>3117</v>
      </c>
      <c r="F259" s="3" t="s">
        <v>890</v>
      </c>
      <c r="G259" s="3" t="s">
        <v>1084</v>
      </c>
      <c r="H259" s="3" t="s">
        <v>334</v>
      </c>
      <c r="I259" s="3"/>
      <c r="J259" s="9">
        <v>0</v>
      </c>
      <c r="K259" s="9">
        <v>100</v>
      </c>
      <c r="L259" s="9">
        <v>40</v>
      </c>
      <c r="M259" s="9">
        <v>50</v>
      </c>
      <c r="N259" s="9">
        <v>100</v>
      </c>
      <c r="O259" s="9">
        <v>0</v>
      </c>
      <c r="P259" s="9">
        <f t="shared" si="15"/>
        <v>290</v>
      </c>
      <c r="Q259" s="18">
        <v>0.10256410256410256</v>
      </c>
      <c r="R259" s="116">
        <v>5</v>
      </c>
      <c r="S259" s="19" t="str">
        <f t="shared" si="21"/>
        <v>2036803A (10%)</v>
      </c>
      <c r="T259" s="9">
        <f t="shared" si="22"/>
        <v>30</v>
      </c>
      <c r="U259" s="20" t="s">
        <v>1043</v>
      </c>
      <c r="V259" s="126" t="s">
        <v>1045</v>
      </c>
      <c r="W259" s="20" t="s">
        <v>1055</v>
      </c>
      <c r="X259" s="18">
        <v>1.1604938271604939</v>
      </c>
      <c r="Y259" s="18" t="s">
        <v>1066</v>
      </c>
      <c r="Z259" s="116">
        <v>4.9000000000000004</v>
      </c>
      <c r="AA259" s="18"/>
      <c r="AB259" s="75"/>
    </row>
    <row r="260" spans="1:28">
      <c r="A260" s="6" t="s">
        <v>647</v>
      </c>
      <c r="B260" s="6" t="str">
        <f t="shared" si="16"/>
        <v>Patni Autoventures LLP2100</v>
      </c>
      <c r="C260" s="102" t="s">
        <v>34</v>
      </c>
      <c r="D260" s="6" t="s">
        <v>1085</v>
      </c>
      <c r="E260" s="5">
        <f>VLOOKUP(A260,$A$3:$E$248,5,FALSE)</f>
        <v>2100</v>
      </c>
      <c r="F260" s="3" t="s">
        <v>889</v>
      </c>
      <c r="G260" s="3" t="s">
        <v>1086</v>
      </c>
      <c r="H260" s="3" t="s">
        <v>345</v>
      </c>
      <c r="I260" s="3"/>
      <c r="J260" s="9">
        <v>0</v>
      </c>
      <c r="K260" s="9">
        <v>100</v>
      </c>
      <c r="L260" s="9">
        <v>50</v>
      </c>
      <c r="M260" s="9">
        <v>0</v>
      </c>
      <c r="N260" s="9">
        <v>80</v>
      </c>
      <c r="O260" s="9">
        <v>80</v>
      </c>
      <c r="P260" s="9">
        <f t="shared" ref="P260:P261" si="23">IF(AND(V260="3S",OR(X260&lt;0.895,Z260&lt;4.595,R260&lt;4.695,Y260&lt;0.895)),0,IF(AND(V260="1S",OR(X260&lt;0.895,Z260&lt;4.595,R260&lt;4.695)),0,SUM(J260:O260)))</f>
        <v>310</v>
      </c>
      <c r="Q260" s="18">
        <v>0.1326530612244898</v>
      </c>
      <c r="R260" s="116">
        <v>4.9000000000000004</v>
      </c>
      <c r="S260" s="19" t="str">
        <f t="shared" si="21"/>
        <v>1037803A (13%)</v>
      </c>
      <c r="T260" s="9">
        <f t="shared" si="22"/>
        <v>41</v>
      </c>
      <c r="U260" s="20" t="s">
        <v>1043</v>
      </c>
      <c r="V260" s="126" t="s">
        <v>1045</v>
      </c>
      <c r="W260" s="20" t="s">
        <v>1055</v>
      </c>
      <c r="X260" s="18">
        <v>1.1584158415841583</v>
      </c>
      <c r="Y260" s="18" t="s">
        <v>1066</v>
      </c>
      <c r="Z260" s="116">
        <v>4.8</v>
      </c>
      <c r="AA260" s="18"/>
      <c r="AB260" s="75"/>
    </row>
    <row r="261" spans="1:28">
      <c r="A261" s="6" t="s">
        <v>587</v>
      </c>
      <c r="B261" s="6" t="s">
        <v>586</v>
      </c>
      <c r="C261" s="6" t="s">
        <v>587</v>
      </c>
      <c r="D261" s="6" t="s">
        <v>587</v>
      </c>
      <c r="E261" s="6" t="s">
        <v>587</v>
      </c>
      <c r="F261" s="6" t="s">
        <v>587</v>
      </c>
      <c r="G261" s="6" t="s">
        <v>587</v>
      </c>
      <c r="H261" s="6" t="s">
        <v>587</v>
      </c>
      <c r="I261" s="6" t="s">
        <v>587</v>
      </c>
      <c r="J261" s="6" t="s">
        <v>587</v>
      </c>
      <c r="K261" s="6" t="s">
        <v>587</v>
      </c>
      <c r="L261" s="9" t="s">
        <v>587</v>
      </c>
      <c r="M261" s="6" t="s">
        <v>587</v>
      </c>
      <c r="N261" s="6" t="s">
        <v>587</v>
      </c>
      <c r="O261" s="6" t="s">
        <v>587</v>
      </c>
      <c r="P261" s="9">
        <f t="shared" si="23"/>
        <v>0</v>
      </c>
      <c r="Q261" s="74" t="s">
        <v>587</v>
      </c>
      <c r="R261" s="20" t="s">
        <v>587</v>
      </c>
      <c r="S261" s="6" t="s">
        <v>587</v>
      </c>
      <c r="T261" s="9" t="s">
        <v>587</v>
      </c>
      <c r="U261" s="20" t="s">
        <v>587</v>
      </c>
      <c r="V261" s="20" t="s">
        <v>587</v>
      </c>
      <c r="W261" s="20" t="s">
        <v>587</v>
      </c>
      <c r="X261" s="18" t="s">
        <v>587</v>
      </c>
      <c r="Y261" s="18" t="s">
        <v>587</v>
      </c>
      <c r="Z261" s="18" t="s">
        <v>587</v>
      </c>
      <c r="AA261" s="18" t="s">
        <v>587</v>
      </c>
      <c r="AB261" s="20" t="s">
        <v>587</v>
      </c>
    </row>
  </sheetData>
  <autoFilter ref="A2:AA511" xr:uid="{1F5AF606-F96C-481B-AFF9-61EA725E8BF8}"/>
  <conditionalFormatting sqref="E2">
    <cfRule type="duplicateValues" dxfId="169" priority="111"/>
  </conditionalFormatting>
  <conditionalFormatting sqref="D514:D1048576 D1:D57 D261 D63:D254">
    <cfRule type="duplicateValues" dxfId="168" priority="43"/>
  </conditionalFormatting>
  <conditionalFormatting sqref="C203">
    <cfRule type="duplicateValues" dxfId="167" priority="41"/>
  </conditionalFormatting>
  <conditionalFormatting sqref="C203">
    <cfRule type="duplicateValues" dxfId="166" priority="42"/>
  </conditionalFormatting>
  <conditionalFormatting sqref="C220">
    <cfRule type="duplicateValues" dxfId="165" priority="39"/>
  </conditionalFormatting>
  <conditionalFormatting sqref="C220">
    <cfRule type="duplicateValues" dxfId="164" priority="40"/>
  </conditionalFormatting>
  <conditionalFormatting sqref="D514:D1048576">
    <cfRule type="duplicateValues" dxfId="163" priority="37"/>
  </conditionalFormatting>
  <conditionalFormatting sqref="D3:D57 D261 D63:D254">
    <cfRule type="duplicateValues" dxfId="162" priority="158"/>
  </conditionalFormatting>
  <conditionalFormatting sqref="D3:D57 D261 D63:D254">
    <cfRule type="duplicateValues" dxfId="161" priority="16"/>
  </conditionalFormatting>
  <conditionalFormatting sqref="D513:D1048576 D1:D57 D261 D63:D254">
    <cfRule type="duplicateValues" dxfId="160" priority="12"/>
  </conditionalFormatting>
  <conditionalFormatting sqref="D513:D1048576">
    <cfRule type="duplicateValues" dxfId="159" priority="7"/>
  </conditionalFormatting>
  <conditionalFormatting sqref="D255:D260">
    <cfRule type="duplicateValues" dxfId="158" priority="4"/>
  </conditionalFormatting>
  <conditionalFormatting sqref="D255:D260">
    <cfRule type="duplicateValues" dxfId="157" priority="5"/>
  </conditionalFormatting>
  <conditionalFormatting sqref="D255:D260">
    <cfRule type="duplicateValues" dxfId="156" priority="6"/>
  </conditionalFormatting>
  <conditionalFormatting sqref="D58:D62">
    <cfRule type="duplicateValues" dxfId="155" priority="1"/>
  </conditionalFormatting>
  <conditionalFormatting sqref="D58:D62">
    <cfRule type="duplicateValues" dxfId="154" priority="2"/>
  </conditionalFormatting>
  <conditionalFormatting sqref="D58:D62">
    <cfRule type="duplicateValues" dxfId="153" priority="3"/>
  </conditionalFormatting>
  <pageMargins left="0.7" right="0.7" top="0.75" bottom="0.75" header="0.3" footer="0.3"/>
  <pageSetup paperSize="9" orientation="portrait" r:id="rId1"/>
  <headerFooter>
    <oddHeader>&amp;L&amp;"Arial"&amp;8&amp;K000000 INTERNAL&amp;1#_x000D_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92BC-33B6-4FDC-82FF-1A3971430C56}">
  <sheetPr codeName="Sheet6"/>
  <dimension ref="A1:AB111"/>
  <sheetViews>
    <sheetView showGridLines="0" topLeftCell="S1" zoomScale="82" zoomScaleNormal="110" workbookViewId="0">
      <selection activeCell="C58" sqref="C58"/>
    </sheetView>
  </sheetViews>
  <sheetFormatPr defaultRowHeight="13.8"/>
  <cols>
    <col min="1" max="1" width="17.69921875" bestFit="1" customWidth="1"/>
    <col min="2" max="2" width="41.296875" customWidth="1"/>
    <col min="3" max="3" width="41.296875" bestFit="1" customWidth="1"/>
    <col min="4" max="4" width="12.796875" bestFit="1" customWidth="1"/>
    <col min="5" max="5" width="8.796875" customWidth="1"/>
    <col min="6" max="6" width="5.796875" customWidth="1"/>
    <col min="7" max="7" width="17.69921875" customWidth="1"/>
    <col min="8" max="8" width="19.5" customWidth="1"/>
    <col min="9" max="9" width="13.69921875" customWidth="1"/>
    <col min="10" max="28" width="20.09765625" customWidth="1"/>
  </cols>
  <sheetData>
    <row r="1" spans="1:28">
      <c r="I1" s="1" t="s">
        <v>475</v>
      </c>
      <c r="J1" s="1">
        <v>100</v>
      </c>
      <c r="K1" s="1">
        <v>50</v>
      </c>
      <c r="L1" s="1">
        <v>100</v>
      </c>
      <c r="M1" s="1">
        <v>75</v>
      </c>
      <c r="N1" s="1">
        <v>75</v>
      </c>
      <c r="O1" s="1">
        <v>100</v>
      </c>
      <c r="P1" s="1">
        <f>SUM(J1:O1)</f>
        <v>500</v>
      </c>
      <c r="Q1" s="1"/>
      <c r="S1" s="1"/>
      <c r="T1" s="1"/>
      <c r="U1" s="1"/>
      <c r="V1" s="1"/>
      <c r="W1" s="1"/>
      <c r="AA1" s="1"/>
      <c r="AB1" s="1"/>
    </row>
    <row r="2" spans="1:28" ht="22.8">
      <c r="A2" s="4" t="s">
        <v>769</v>
      </c>
      <c r="B2" s="4" t="s">
        <v>194</v>
      </c>
      <c r="C2" s="4" t="s">
        <v>0</v>
      </c>
      <c r="D2" s="4" t="s">
        <v>72</v>
      </c>
      <c r="E2" s="4" t="s">
        <v>70</v>
      </c>
      <c r="F2" s="4" t="s">
        <v>195</v>
      </c>
      <c r="G2" s="4" t="s">
        <v>198</v>
      </c>
      <c r="H2" s="4" t="s">
        <v>199</v>
      </c>
      <c r="I2" s="4" t="s">
        <v>457</v>
      </c>
      <c r="J2" s="4" t="s">
        <v>479</v>
      </c>
      <c r="K2" s="4" t="s">
        <v>480</v>
      </c>
      <c r="L2" s="4" t="s">
        <v>481</v>
      </c>
      <c r="M2" s="4" t="s">
        <v>482</v>
      </c>
      <c r="N2" s="4" t="s">
        <v>885</v>
      </c>
      <c r="O2" s="4" t="s">
        <v>483</v>
      </c>
      <c r="P2" s="4" t="s">
        <v>505</v>
      </c>
      <c r="Q2" s="4" t="s">
        <v>574</v>
      </c>
      <c r="R2" s="4" t="s">
        <v>577</v>
      </c>
      <c r="S2" s="4" t="s">
        <v>579</v>
      </c>
      <c r="T2" s="4" t="s">
        <v>596</v>
      </c>
      <c r="U2" s="4" t="s">
        <v>506</v>
      </c>
      <c r="V2" s="4" t="s">
        <v>773</v>
      </c>
      <c r="W2" s="4" t="s">
        <v>684</v>
      </c>
      <c r="X2" s="4" t="s">
        <v>685</v>
      </c>
      <c r="Y2" s="4" t="s">
        <v>686</v>
      </c>
      <c r="Z2" s="4"/>
      <c r="AA2" s="4"/>
      <c r="AB2" s="4" t="s">
        <v>879</v>
      </c>
    </row>
    <row r="3" spans="1:28">
      <c r="A3" s="6" t="str">
        <f>VLOOKUP(D3,[2]Service!$B$15:$H$114,7,FALSE)</f>
        <v>SSB</v>
      </c>
      <c r="B3" s="103" t="str">
        <f>_xlfn.CONCAT(C3,E3)</f>
        <v>SSB Automobiles Pvt Ltd2343</v>
      </c>
      <c r="C3" s="103" t="s">
        <v>52</v>
      </c>
      <c r="D3" s="5">
        <v>10346</v>
      </c>
      <c r="E3" s="5">
        <v>2343</v>
      </c>
      <c r="F3" s="3" t="s">
        <v>196</v>
      </c>
      <c r="G3" s="3" t="s">
        <v>414</v>
      </c>
      <c r="H3" s="3" t="s">
        <v>411</v>
      </c>
      <c r="I3" s="3" t="s">
        <v>458</v>
      </c>
      <c r="J3" s="9">
        <v>80</v>
      </c>
      <c r="K3" s="9">
        <v>50</v>
      </c>
      <c r="L3" s="9">
        <v>80</v>
      </c>
      <c r="M3" s="9">
        <v>75</v>
      </c>
      <c r="N3" s="9">
        <v>60</v>
      </c>
      <c r="O3" s="9">
        <v>80</v>
      </c>
      <c r="P3" s="9">
        <f>IF(AND(V3="3S",OR(X3&lt;0.895,R3&lt;4.695,Y3&lt;0.895)),0,IF(AND(V3="1S",OR(R3&lt;4.695,Y3&lt;0.895)),0,SUM(J3:O3)))</f>
        <v>425</v>
      </c>
      <c r="Q3" s="18">
        <v>1</v>
      </c>
      <c r="R3" s="116">
        <v>4.7</v>
      </c>
      <c r="S3" s="19" t="str">
        <f>_xlfn.CONCAT(D3," (",TEXT(Q3,"0%"),")")</f>
        <v>10346 (100%)</v>
      </c>
      <c r="T3" s="9">
        <f>ROUND(P3*Q3,0)</f>
        <v>425</v>
      </c>
      <c r="U3" s="9" t="s">
        <v>1043</v>
      </c>
      <c r="V3" s="9" t="s">
        <v>1044</v>
      </c>
      <c r="W3" s="9" t="s">
        <v>1040</v>
      </c>
      <c r="X3" s="18">
        <v>1.1395348837209303</v>
      </c>
      <c r="Y3" s="18">
        <v>0.97705378694158118</v>
      </c>
      <c r="Z3" s="18"/>
      <c r="AA3" s="18"/>
      <c r="AB3" s="75"/>
    </row>
    <row r="4" spans="1:28">
      <c r="A4" s="6" t="str">
        <f>VLOOKUP(D4,[2]Service!$B$15:$H$114,7,FALSE)</f>
        <v>Ananya</v>
      </c>
      <c r="B4" s="103" t="str">
        <f t="shared" ref="B4:B63" si="0">_xlfn.CONCAT(C4,E4)</f>
        <v>Ananya Sales Pvt Ltd2767</v>
      </c>
      <c r="C4" s="103" t="s">
        <v>4</v>
      </c>
      <c r="D4" s="5">
        <v>20379</v>
      </c>
      <c r="E4" s="5">
        <v>2767</v>
      </c>
      <c r="F4" s="3" t="s">
        <v>196</v>
      </c>
      <c r="G4" s="3" t="s">
        <v>844</v>
      </c>
      <c r="H4" s="3" t="s">
        <v>211</v>
      </c>
      <c r="I4" s="3" t="s">
        <v>458</v>
      </c>
      <c r="J4" s="9">
        <v>0</v>
      </c>
      <c r="K4" s="9">
        <v>40</v>
      </c>
      <c r="L4" s="9">
        <v>100</v>
      </c>
      <c r="M4" s="9">
        <v>0</v>
      </c>
      <c r="N4" s="9">
        <v>0</v>
      </c>
      <c r="O4" s="9">
        <v>80</v>
      </c>
      <c r="P4" s="9">
        <f t="shared" ref="P4:P67" si="1">IF(AND(V4="3S",OR(X4&lt;0.895,R4&lt;4.695,Y4&lt;0.895)),0,IF(AND(V4="1S",OR(R4&lt;4.695,Y4&lt;0.895)),0,SUM(J4:O4)))</f>
        <v>0</v>
      </c>
      <c r="Q4" s="18">
        <v>1</v>
      </c>
      <c r="R4" s="116">
        <v>4.4000000000000004</v>
      </c>
      <c r="S4" s="19" t="str">
        <f t="shared" ref="S4:S63" si="2">_xlfn.CONCAT(D4," (",TEXT(Q4,"0%"),")")</f>
        <v>20379 (100%)</v>
      </c>
      <c r="T4" s="9">
        <f t="shared" ref="T4:T64" si="3">ROUND(P4*Q4,0)</f>
        <v>0</v>
      </c>
      <c r="U4" s="9" t="s">
        <v>1043</v>
      </c>
      <c r="V4" s="9" t="s">
        <v>1044</v>
      </c>
      <c r="W4" s="9" t="s">
        <v>1041</v>
      </c>
      <c r="X4" s="18">
        <v>0.88888888888888884</v>
      </c>
      <c r="Y4" s="18">
        <v>0.5600891134020618</v>
      </c>
      <c r="Z4" s="18"/>
      <c r="AA4" s="18"/>
      <c r="AB4" s="75"/>
    </row>
    <row r="5" spans="1:28">
      <c r="A5" s="6" t="str">
        <f>VLOOKUP(D5,[2]Service!$B$15:$H$114,7,FALSE)</f>
        <v>Regent</v>
      </c>
      <c r="B5" s="103" t="str">
        <f t="shared" si="0"/>
        <v>(Regent) Tejpal Motors Pvt. Ltd.1758</v>
      </c>
      <c r="C5" s="103" t="s">
        <v>1</v>
      </c>
      <c r="D5" s="5">
        <v>20391</v>
      </c>
      <c r="E5" s="5">
        <v>1758</v>
      </c>
      <c r="F5" s="3" t="s">
        <v>196</v>
      </c>
      <c r="G5" s="3" t="s">
        <v>845</v>
      </c>
      <c r="H5" s="3" t="s">
        <v>200</v>
      </c>
      <c r="I5" s="3" t="s">
        <v>458</v>
      </c>
      <c r="J5" s="9">
        <v>100</v>
      </c>
      <c r="K5" s="9">
        <v>40</v>
      </c>
      <c r="L5" s="9">
        <v>80</v>
      </c>
      <c r="M5" s="9">
        <v>60</v>
      </c>
      <c r="N5" s="9">
        <v>75</v>
      </c>
      <c r="O5" s="9">
        <v>80</v>
      </c>
      <c r="P5" s="9">
        <f t="shared" si="1"/>
        <v>435</v>
      </c>
      <c r="Q5" s="18">
        <v>0.464889466840052</v>
      </c>
      <c r="R5" s="116">
        <v>4.8</v>
      </c>
      <c r="S5" s="19" t="str">
        <f t="shared" si="2"/>
        <v>20391 (46%)</v>
      </c>
      <c r="T5" s="9">
        <f t="shared" si="3"/>
        <v>202</v>
      </c>
      <c r="U5" s="9" t="s">
        <v>1043</v>
      </c>
      <c r="V5" s="9" t="s">
        <v>1044</v>
      </c>
      <c r="W5" s="9" t="s">
        <v>1041</v>
      </c>
      <c r="X5" s="18">
        <v>1.3488372093023255</v>
      </c>
      <c r="Y5" s="18">
        <v>1.0905091707940178</v>
      </c>
      <c r="Z5" s="18"/>
      <c r="AA5" s="18"/>
      <c r="AB5" s="75"/>
    </row>
    <row r="6" spans="1:28">
      <c r="A6" s="6" t="str">
        <f>VLOOKUP(D6,[2]Service!$B$15:$H$114,7,FALSE)</f>
        <v>Regent</v>
      </c>
      <c r="B6" s="103" t="str">
        <f t="shared" si="0"/>
        <v>(Regent) Tejpal Motors Pvt. Ltd.1758</v>
      </c>
      <c r="C6" s="103" t="s">
        <v>1</v>
      </c>
      <c r="D6" s="5">
        <v>20380</v>
      </c>
      <c r="E6" s="5">
        <v>1758</v>
      </c>
      <c r="F6" s="3" t="s">
        <v>197</v>
      </c>
      <c r="G6" s="3" t="s">
        <v>846</v>
      </c>
      <c r="H6" s="3" t="s">
        <v>201</v>
      </c>
      <c r="I6" s="3" t="s">
        <v>459</v>
      </c>
      <c r="J6" s="9">
        <v>100</v>
      </c>
      <c r="K6" s="9">
        <v>40</v>
      </c>
      <c r="L6" s="9">
        <v>80</v>
      </c>
      <c r="M6" s="9">
        <v>75</v>
      </c>
      <c r="N6" s="9">
        <v>0</v>
      </c>
      <c r="O6" s="9">
        <v>80</v>
      </c>
      <c r="P6" s="9">
        <f t="shared" si="1"/>
        <v>375</v>
      </c>
      <c r="Q6" s="18">
        <v>0.53511053315994794</v>
      </c>
      <c r="R6" s="116">
        <v>4.7</v>
      </c>
      <c r="S6" s="19" t="str">
        <f t="shared" si="2"/>
        <v>20380 (54%)</v>
      </c>
      <c r="T6" s="9">
        <f t="shared" si="3"/>
        <v>201</v>
      </c>
      <c r="U6" s="9" t="s">
        <v>1043</v>
      </c>
      <c r="V6" s="9" t="s">
        <v>1044</v>
      </c>
      <c r="W6" s="9" t="s">
        <v>1041</v>
      </c>
      <c r="X6" s="18">
        <v>1.3488372093023255</v>
      </c>
      <c r="Y6" s="18">
        <v>1.0905091707940178</v>
      </c>
      <c r="Z6" s="18"/>
      <c r="AA6" s="18"/>
      <c r="AB6" s="75"/>
    </row>
    <row r="7" spans="1:28">
      <c r="A7" s="6" t="str">
        <f>VLOOKUP(D7,[2]Service!$B$15:$H$114,7,FALSE)</f>
        <v>DMPL</v>
      </c>
      <c r="B7" s="103" t="str">
        <f t="shared" si="0"/>
        <v>(Trinity) Durgesh Motors Pvt. Ltd. 4496</v>
      </c>
      <c r="C7" s="103" t="s">
        <v>2</v>
      </c>
      <c r="D7" s="5">
        <v>10296</v>
      </c>
      <c r="E7" s="5">
        <v>4496</v>
      </c>
      <c r="F7" s="3" t="s">
        <v>197</v>
      </c>
      <c r="G7" s="3" t="s">
        <v>203</v>
      </c>
      <c r="H7" s="3" t="s">
        <v>847</v>
      </c>
      <c r="I7" s="3" t="s">
        <v>459</v>
      </c>
      <c r="J7" s="9">
        <v>0</v>
      </c>
      <c r="K7" s="9">
        <v>50</v>
      </c>
      <c r="L7" s="9">
        <v>80</v>
      </c>
      <c r="M7" s="9">
        <v>60</v>
      </c>
      <c r="N7" s="9">
        <v>75</v>
      </c>
      <c r="O7" s="9">
        <v>100</v>
      </c>
      <c r="P7" s="9">
        <f t="shared" si="1"/>
        <v>365</v>
      </c>
      <c r="Q7" s="18">
        <v>1</v>
      </c>
      <c r="R7" s="116">
        <v>4.7</v>
      </c>
      <c r="S7" s="19" t="str">
        <f t="shared" si="2"/>
        <v>10296 (100%)</v>
      </c>
      <c r="T7" s="9">
        <f t="shared" si="3"/>
        <v>365</v>
      </c>
      <c r="U7" s="9" t="s">
        <v>1043</v>
      </c>
      <c r="V7" s="9" t="s">
        <v>1044</v>
      </c>
      <c r="W7" s="9" t="s">
        <v>1040</v>
      </c>
      <c r="X7" s="18">
        <v>0.92380952380952386</v>
      </c>
      <c r="Y7" s="18">
        <v>1.0563621916932906</v>
      </c>
      <c r="Z7" s="18"/>
      <c r="AA7" s="18"/>
      <c r="AB7" s="75"/>
    </row>
    <row r="8" spans="1:28">
      <c r="A8" s="6" t="str">
        <f>VLOOKUP(D8,[2]Service!$B$15:$H$114,7,FALSE)</f>
        <v>Zedex</v>
      </c>
      <c r="B8" s="103" t="str">
        <f t="shared" si="0"/>
        <v>Shekhawati Electronics Pvt Ltd 2768</v>
      </c>
      <c r="C8" s="103" t="s">
        <v>45</v>
      </c>
      <c r="D8" s="5">
        <v>20352</v>
      </c>
      <c r="E8" s="5">
        <v>2768</v>
      </c>
      <c r="F8" s="3" t="s">
        <v>197</v>
      </c>
      <c r="G8" s="3" t="s">
        <v>848</v>
      </c>
      <c r="H8" s="3" t="s">
        <v>228</v>
      </c>
      <c r="I8" s="3" t="s">
        <v>459</v>
      </c>
      <c r="J8" s="9">
        <v>80</v>
      </c>
      <c r="K8" s="9">
        <v>40</v>
      </c>
      <c r="L8" s="9">
        <v>0</v>
      </c>
      <c r="M8" s="9">
        <v>0</v>
      </c>
      <c r="N8" s="9">
        <v>60</v>
      </c>
      <c r="O8" s="9">
        <v>80</v>
      </c>
      <c r="P8" s="9">
        <f t="shared" si="1"/>
        <v>260</v>
      </c>
      <c r="Q8" s="18">
        <v>1</v>
      </c>
      <c r="R8" s="116">
        <v>4.7</v>
      </c>
      <c r="S8" s="19" t="str">
        <f t="shared" si="2"/>
        <v>20352 (100%)</v>
      </c>
      <c r="T8" s="9">
        <f t="shared" si="3"/>
        <v>260</v>
      </c>
      <c r="U8" s="9" t="s">
        <v>1043</v>
      </c>
      <c r="V8" s="9" t="s">
        <v>1044</v>
      </c>
      <c r="W8" s="9" t="s">
        <v>1041</v>
      </c>
      <c r="X8" s="18">
        <v>1.2702702702702702</v>
      </c>
      <c r="Y8" s="18">
        <v>1.4113384317406121</v>
      </c>
      <c r="Z8" s="18"/>
      <c r="AA8" s="18"/>
      <c r="AB8" s="75"/>
    </row>
    <row r="9" spans="1:28">
      <c r="A9" s="6" t="str">
        <f>VLOOKUP(D9,[2]Service!$B$15:$H$114,7,FALSE)</f>
        <v>AKOYA</v>
      </c>
      <c r="B9" s="103" t="str">
        <f t="shared" si="0"/>
        <v>Akoya Motors Pvt Ltd4357</v>
      </c>
      <c r="C9" s="103" t="s">
        <v>3</v>
      </c>
      <c r="D9" s="5">
        <v>10302</v>
      </c>
      <c r="E9" s="5">
        <v>4357</v>
      </c>
      <c r="F9" s="3" t="s">
        <v>196</v>
      </c>
      <c r="G9" s="3" t="s">
        <v>210</v>
      </c>
      <c r="H9" s="3" t="s">
        <v>208</v>
      </c>
      <c r="I9" s="3" t="s">
        <v>458</v>
      </c>
      <c r="J9" s="9">
        <v>100</v>
      </c>
      <c r="K9" s="9">
        <v>40</v>
      </c>
      <c r="L9" s="9">
        <v>100</v>
      </c>
      <c r="M9" s="9">
        <v>60</v>
      </c>
      <c r="N9" s="9">
        <v>0</v>
      </c>
      <c r="O9" s="9">
        <v>80</v>
      </c>
      <c r="P9" s="9">
        <f t="shared" si="1"/>
        <v>0</v>
      </c>
      <c r="Q9" s="18">
        <v>1</v>
      </c>
      <c r="R9" s="116">
        <v>4.5999999999999996</v>
      </c>
      <c r="S9" s="19" t="str">
        <f t="shared" si="2"/>
        <v>10302 (100%)</v>
      </c>
      <c r="T9" s="9">
        <f t="shared" si="3"/>
        <v>0</v>
      </c>
      <c r="U9" s="9" t="s">
        <v>1043</v>
      </c>
      <c r="V9" s="9" t="s">
        <v>1044</v>
      </c>
      <c r="W9" s="9" t="s">
        <v>1040</v>
      </c>
      <c r="X9" s="18">
        <v>1.1269035532994924</v>
      </c>
      <c r="Y9" s="18">
        <v>1.2942937522123859</v>
      </c>
      <c r="Z9" s="18"/>
      <c r="AA9" s="18"/>
      <c r="AB9" s="75"/>
    </row>
    <row r="10" spans="1:28">
      <c r="A10" s="6" t="str">
        <f>VLOOKUP(D10,[2]Service!$B$15:$H$114,7,FALSE)</f>
        <v>AURA + MAVERICK</v>
      </c>
      <c r="B10" s="103" t="str">
        <f t="shared" si="0"/>
        <v>Aura Motors Pvt. Ltd + Maverick Motors 3616</v>
      </c>
      <c r="C10" s="104" t="s">
        <v>5</v>
      </c>
      <c r="D10" s="5">
        <v>10211</v>
      </c>
      <c r="E10" s="5">
        <v>3616</v>
      </c>
      <c r="F10" s="3" t="s">
        <v>196</v>
      </c>
      <c r="G10" s="3" t="s">
        <v>213</v>
      </c>
      <c r="H10" s="3" t="s">
        <v>213</v>
      </c>
      <c r="I10" s="3" t="s">
        <v>458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f t="shared" si="1"/>
        <v>0</v>
      </c>
      <c r="Q10" s="18">
        <v>0</v>
      </c>
      <c r="R10" s="116">
        <v>0</v>
      </c>
      <c r="S10" s="19" t="str">
        <f t="shared" si="2"/>
        <v>10211 (0%)</v>
      </c>
      <c r="T10" s="9">
        <f t="shared" si="3"/>
        <v>0</v>
      </c>
      <c r="U10" s="9" t="s">
        <v>1043</v>
      </c>
      <c r="V10" s="9" t="s">
        <v>1044</v>
      </c>
      <c r="W10" s="9"/>
      <c r="X10" s="18"/>
      <c r="Y10" s="18"/>
      <c r="Z10" s="18"/>
      <c r="AA10" s="18"/>
      <c r="AB10" s="75"/>
    </row>
    <row r="11" spans="1:28">
      <c r="A11" s="6" t="str">
        <f>VLOOKUP(D11,[2]Service!$B$15:$H$114,7,FALSE)</f>
        <v>Automovers</v>
      </c>
      <c r="B11" s="103" t="str">
        <f t="shared" si="0"/>
        <v>Automovers Auto Industry Pvt. Ltd.3313</v>
      </c>
      <c r="C11" s="103" t="s">
        <v>66</v>
      </c>
      <c r="D11" s="5">
        <v>20401</v>
      </c>
      <c r="E11" s="5">
        <v>3313</v>
      </c>
      <c r="F11" s="3" t="s">
        <v>196</v>
      </c>
      <c r="G11" s="3" t="s">
        <v>849</v>
      </c>
      <c r="H11" s="3" t="s">
        <v>407</v>
      </c>
      <c r="I11" s="3" t="s">
        <v>460</v>
      </c>
      <c r="J11" s="9">
        <v>80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f t="shared" si="1"/>
        <v>80</v>
      </c>
      <c r="Q11" s="18">
        <v>1</v>
      </c>
      <c r="R11" s="116">
        <v>4.8</v>
      </c>
      <c r="S11" s="19" t="str">
        <f t="shared" si="2"/>
        <v>20401 (100%)</v>
      </c>
      <c r="T11" s="9">
        <f t="shared" si="3"/>
        <v>80</v>
      </c>
      <c r="U11" s="9" t="s">
        <v>1039</v>
      </c>
      <c r="V11" s="9" t="s">
        <v>1044</v>
      </c>
      <c r="W11" s="9" t="s">
        <v>1041</v>
      </c>
      <c r="X11" s="18">
        <v>1.2647058823529411</v>
      </c>
      <c r="Y11" s="18">
        <v>0.96820567873303254</v>
      </c>
      <c r="Z11" s="18"/>
      <c r="AA11" s="18"/>
      <c r="AB11" s="75"/>
    </row>
    <row r="12" spans="1:28">
      <c r="A12" s="6" t="str">
        <f>VLOOKUP(D12,[2]Service!$B$15:$H$114,7,FALSE)</f>
        <v>AVYA</v>
      </c>
      <c r="B12" s="103" t="str">
        <f t="shared" si="0"/>
        <v>Avya Automobiles Pvt. Ltd.3530</v>
      </c>
      <c r="C12" s="103" t="s">
        <v>6</v>
      </c>
      <c r="D12" s="5">
        <v>20365</v>
      </c>
      <c r="E12" s="5">
        <v>3530</v>
      </c>
      <c r="F12" s="3" t="s">
        <v>196</v>
      </c>
      <c r="G12" s="3" t="s">
        <v>850</v>
      </c>
      <c r="H12" s="3" t="s">
        <v>218</v>
      </c>
      <c r="I12" s="3" t="s">
        <v>461</v>
      </c>
      <c r="J12" s="9">
        <v>80</v>
      </c>
      <c r="K12" s="9">
        <v>40</v>
      </c>
      <c r="L12" s="9">
        <v>0</v>
      </c>
      <c r="M12" s="9">
        <v>0</v>
      </c>
      <c r="N12" s="9">
        <v>60</v>
      </c>
      <c r="O12" s="9">
        <v>80</v>
      </c>
      <c r="P12" s="9">
        <f t="shared" si="1"/>
        <v>260</v>
      </c>
      <c r="Q12" s="18">
        <v>1</v>
      </c>
      <c r="R12" s="116">
        <v>4.8</v>
      </c>
      <c r="S12" s="19" t="str">
        <f t="shared" si="2"/>
        <v>20365 (100%)</v>
      </c>
      <c r="T12" s="9">
        <f t="shared" si="3"/>
        <v>260</v>
      </c>
      <c r="U12" s="9" t="s">
        <v>1043</v>
      </c>
      <c r="V12" s="9" t="s">
        <v>1044</v>
      </c>
      <c r="W12" s="9" t="s">
        <v>1041</v>
      </c>
      <c r="X12" s="18">
        <v>1.0125</v>
      </c>
      <c r="Y12" s="18">
        <v>1.012234813380283</v>
      </c>
      <c r="Z12" s="18"/>
      <c r="AA12" s="18"/>
      <c r="AB12" s="75"/>
    </row>
    <row r="13" spans="1:28">
      <c r="A13" s="6" t="str">
        <f>VLOOKUP(D13,[2]Service!$B$15:$H$114,7,FALSE)</f>
        <v>BERK</v>
      </c>
      <c r="B13" s="103" t="str">
        <f t="shared" si="0"/>
        <v>Berk Autozone LLP1221</v>
      </c>
      <c r="C13" s="103" t="s">
        <v>7</v>
      </c>
      <c r="D13" s="5">
        <v>10358</v>
      </c>
      <c r="E13" s="5">
        <v>1221</v>
      </c>
      <c r="F13" s="3" t="s">
        <v>196</v>
      </c>
      <c r="G13" s="3" t="s">
        <v>851</v>
      </c>
      <c r="H13" s="3" t="s">
        <v>220</v>
      </c>
      <c r="I13" s="3" t="s">
        <v>461</v>
      </c>
      <c r="J13" s="9">
        <v>0</v>
      </c>
      <c r="K13" s="9">
        <v>40</v>
      </c>
      <c r="L13" s="9">
        <v>0</v>
      </c>
      <c r="M13" s="9">
        <v>0</v>
      </c>
      <c r="N13" s="9">
        <v>0</v>
      </c>
      <c r="O13" s="9">
        <v>80</v>
      </c>
      <c r="P13" s="9">
        <f t="shared" si="1"/>
        <v>0</v>
      </c>
      <c r="Q13" s="18">
        <v>0.54780876494023911</v>
      </c>
      <c r="R13" s="116">
        <v>4.7</v>
      </c>
      <c r="S13" s="19" t="str">
        <f t="shared" si="2"/>
        <v>10358 (55%)</v>
      </c>
      <c r="T13" s="9">
        <f t="shared" si="3"/>
        <v>0</v>
      </c>
      <c r="U13" s="9" t="s">
        <v>1043</v>
      </c>
      <c r="V13" s="9" t="s">
        <v>1044</v>
      </c>
      <c r="W13" s="9" t="s">
        <v>1040</v>
      </c>
      <c r="X13" s="18">
        <v>0.95652173913043481</v>
      </c>
      <c r="Y13" s="18">
        <v>0.66371659163346663</v>
      </c>
      <c r="Z13" s="18"/>
      <c r="AA13" s="18"/>
      <c r="AB13" s="75"/>
    </row>
    <row r="14" spans="1:28">
      <c r="A14" s="6" t="str">
        <f>VLOOKUP(D14,[2]Service!$B$15:$H$114,7,FALSE)</f>
        <v>SIDAK + BLC</v>
      </c>
      <c r="B14" s="103" t="str">
        <f t="shared" si="0"/>
        <v>BLC Autosales Pvt Ltd+Sidak Automobiles1337</v>
      </c>
      <c r="C14" s="104" t="s">
        <v>8</v>
      </c>
      <c r="D14" s="5">
        <v>10288</v>
      </c>
      <c r="E14" s="5">
        <v>1337</v>
      </c>
      <c r="F14" s="3" t="s">
        <v>197</v>
      </c>
      <c r="G14" s="3" t="s">
        <v>221</v>
      </c>
      <c r="H14" s="3" t="s">
        <v>852</v>
      </c>
      <c r="I14" s="3" t="s">
        <v>462</v>
      </c>
      <c r="J14" s="9">
        <v>80</v>
      </c>
      <c r="K14" s="9">
        <v>0</v>
      </c>
      <c r="L14" s="9">
        <v>80</v>
      </c>
      <c r="M14" s="9">
        <v>0</v>
      </c>
      <c r="N14" s="9">
        <v>60</v>
      </c>
      <c r="O14" s="9">
        <v>0</v>
      </c>
      <c r="P14" s="9">
        <f t="shared" si="1"/>
        <v>0</v>
      </c>
      <c r="Q14" s="18">
        <v>0.27868852459016397</v>
      </c>
      <c r="R14" s="116">
        <v>4.7</v>
      </c>
      <c r="S14" s="19" t="str">
        <f t="shared" si="2"/>
        <v>10288 (28%)</v>
      </c>
      <c r="T14" s="9">
        <f t="shared" si="3"/>
        <v>0</v>
      </c>
      <c r="U14" s="9" t="s">
        <v>1043</v>
      </c>
      <c r="V14" s="9" t="s">
        <v>1044</v>
      </c>
      <c r="W14" s="9" t="s">
        <v>1040</v>
      </c>
      <c r="X14" s="18">
        <v>0.83471074380165289</v>
      </c>
      <c r="Y14" s="18">
        <v>0.97989442388758841</v>
      </c>
      <c r="Z14" s="18"/>
      <c r="AA14" s="18"/>
      <c r="AB14" s="75"/>
    </row>
    <row r="15" spans="1:28">
      <c r="A15" s="6" t="str">
        <f>VLOOKUP(D15,[2]Service!$B$15:$H$114,7,FALSE)</f>
        <v>BRITE</v>
      </c>
      <c r="B15" s="103" t="str">
        <f t="shared" si="0"/>
        <v>Brite Auto Wheels Private Limited3001</v>
      </c>
      <c r="C15" s="103" t="s">
        <v>9</v>
      </c>
      <c r="D15" s="5">
        <v>20330</v>
      </c>
      <c r="E15" s="5">
        <v>3001</v>
      </c>
      <c r="F15" s="3" t="s">
        <v>197</v>
      </c>
      <c r="G15" s="3" t="s">
        <v>853</v>
      </c>
      <c r="H15" s="3" t="s">
        <v>227</v>
      </c>
      <c r="I15" s="3" t="s">
        <v>462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f t="shared" si="1"/>
        <v>0</v>
      </c>
      <c r="Q15" s="18">
        <v>1</v>
      </c>
      <c r="R15" s="116">
        <v>4.5999999999999996</v>
      </c>
      <c r="S15" s="19" t="str">
        <f t="shared" si="2"/>
        <v>20330 (100%)</v>
      </c>
      <c r="T15" s="9">
        <f t="shared" si="3"/>
        <v>0</v>
      </c>
      <c r="U15" s="9" t="s">
        <v>1043</v>
      </c>
      <c r="V15" s="9" t="s">
        <v>1044</v>
      </c>
      <c r="W15" s="9" t="s">
        <v>1041</v>
      </c>
      <c r="X15" s="18">
        <v>1.013986013986014</v>
      </c>
      <c r="Y15" s="18">
        <v>0.99336166082474375</v>
      </c>
      <c r="Z15" s="18"/>
      <c r="AA15" s="18"/>
      <c r="AB15" s="75"/>
    </row>
    <row r="16" spans="1:28">
      <c r="A16" s="6" t="str">
        <f>VLOOKUP(D16,[2]Service!$B$15:$H$114,7,FALSE)</f>
        <v>Commercial</v>
      </c>
      <c r="B16" s="103" t="str">
        <f t="shared" si="0"/>
        <v>Commercial Automotives Pvt Ltd1703</v>
      </c>
      <c r="C16" s="103" t="s">
        <v>10</v>
      </c>
      <c r="D16" s="5">
        <v>10367</v>
      </c>
      <c r="E16" s="5">
        <v>1703</v>
      </c>
      <c r="F16" s="3" t="s">
        <v>197</v>
      </c>
      <c r="G16" s="3" t="s">
        <v>854</v>
      </c>
      <c r="H16" s="3" t="s">
        <v>231</v>
      </c>
      <c r="I16" s="3" t="s">
        <v>462</v>
      </c>
      <c r="J16" s="9">
        <v>0</v>
      </c>
      <c r="K16" s="9">
        <v>40</v>
      </c>
      <c r="L16" s="9">
        <v>80</v>
      </c>
      <c r="M16" s="9">
        <v>0</v>
      </c>
      <c r="N16" s="9">
        <v>60</v>
      </c>
      <c r="O16" s="9">
        <v>80</v>
      </c>
      <c r="P16" s="9">
        <f t="shared" si="1"/>
        <v>260</v>
      </c>
      <c r="Q16" s="18">
        <v>1</v>
      </c>
      <c r="R16" s="116">
        <v>4.7</v>
      </c>
      <c r="S16" s="19" t="str">
        <f t="shared" si="2"/>
        <v>10367 (100%)</v>
      </c>
      <c r="T16" s="9">
        <f t="shared" si="3"/>
        <v>260</v>
      </c>
      <c r="U16" s="9" t="s">
        <v>1043</v>
      </c>
      <c r="V16" s="9" t="s">
        <v>1044</v>
      </c>
      <c r="W16" s="9" t="s">
        <v>1040</v>
      </c>
      <c r="X16" s="18">
        <v>1.0487804878048781</v>
      </c>
      <c r="Y16" s="18">
        <v>1.607059750000001</v>
      </c>
      <c r="Z16" s="18"/>
      <c r="AA16" s="18"/>
      <c r="AB16" s="75"/>
    </row>
    <row r="17" spans="1:28">
      <c r="A17" s="6" t="str">
        <f>VLOOKUP(D17,[2]Service!$B$15:$H$114,7,FALSE)</f>
        <v>DDPM</v>
      </c>
      <c r="B17" s="103" t="str">
        <f t="shared" si="0"/>
        <v>DDPM Automobiles LLP3606</v>
      </c>
      <c r="C17" s="103" t="s">
        <v>11</v>
      </c>
      <c r="D17" s="5">
        <v>20364</v>
      </c>
      <c r="E17" s="5">
        <v>3606</v>
      </c>
      <c r="F17" s="3" t="s">
        <v>197</v>
      </c>
      <c r="G17" s="3" t="s">
        <v>855</v>
      </c>
      <c r="H17" s="3" t="s">
        <v>233</v>
      </c>
      <c r="I17" s="3" t="s">
        <v>462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f t="shared" si="1"/>
        <v>0</v>
      </c>
      <c r="Q17" s="18">
        <v>1</v>
      </c>
      <c r="R17" s="116">
        <v>4.4000000000000004</v>
      </c>
      <c r="S17" s="19" t="str">
        <f t="shared" si="2"/>
        <v>20364 (100%)</v>
      </c>
      <c r="T17" s="9">
        <f t="shared" si="3"/>
        <v>0</v>
      </c>
      <c r="U17" s="9" t="s">
        <v>1043</v>
      </c>
      <c r="V17" s="9" t="s">
        <v>1044</v>
      </c>
      <c r="W17" s="9" t="s">
        <v>1041</v>
      </c>
      <c r="X17" s="18">
        <v>0.93181818181818177</v>
      </c>
      <c r="Y17" s="18">
        <v>1.0509779326923081</v>
      </c>
      <c r="Z17" s="18"/>
      <c r="AA17" s="18"/>
      <c r="AB17" s="75"/>
    </row>
    <row r="18" spans="1:28">
      <c r="A18" s="6" t="str">
        <f>VLOOKUP(D18,[2]Service!$B$15:$H$114,7,FALSE)</f>
        <v>DEV</v>
      </c>
      <c r="B18" s="103" t="str">
        <f t="shared" si="0"/>
        <v>Dev Bhoomi Motors Pvt. Ltd1161</v>
      </c>
      <c r="C18" s="103" t="s">
        <v>12</v>
      </c>
      <c r="D18" s="5">
        <v>10202</v>
      </c>
      <c r="E18" s="5">
        <v>1161</v>
      </c>
      <c r="F18" s="3" t="s">
        <v>197</v>
      </c>
      <c r="G18" s="3" t="s">
        <v>856</v>
      </c>
      <c r="H18" s="3" t="s">
        <v>235</v>
      </c>
      <c r="I18" s="3" t="s">
        <v>463</v>
      </c>
      <c r="J18" s="9">
        <v>80</v>
      </c>
      <c r="K18" s="9">
        <v>50</v>
      </c>
      <c r="L18" s="9">
        <v>0</v>
      </c>
      <c r="M18" s="9">
        <v>0</v>
      </c>
      <c r="N18" s="9">
        <v>75</v>
      </c>
      <c r="O18" s="9">
        <v>100</v>
      </c>
      <c r="P18" s="9">
        <f t="shared" si="1"/>
        <v>305</v>
      </c>
      <c r="Q18" s="18">
        <v>1</v>
      </c>
      <c r="R18" s="116">
        <v>4.8</v>
      </c>
      <c r="S18" s="19" t="str">
        <f t="shared" si="2"/>
        <v>10202 (100%)</v>
      </c>
      <c r="T18" s="9">
        <f t="shared" si="3"/>
        <v>305</v>
      </c>
      <c r="U18" s="9" t="s">
        <v>1043</v>
      </c>
      <c r="V18" s="9" t="s">
        <v>1044</v>
      </c>
      <c r="W18" s="9" t="s">
        <v>1040</v>
      </c>
      <c r="X18" s="18">
        <v>2.347826086956522</v>
      </c>
      <c r="Y18" s="18">
        <v>0.94140980392156892</v>
      </c>
      <c r="Z18" s="18"/>
      <c r="AA18" s="18"/>
      <c r="AB18" s="75"/>
    </row>
    <row r="19" spans="1:28">
      <c r="A19" s="6" t="str">
        <f>VLOOKUP(D19,[2]Service!$B$15:$H$114,7,FALSE)</f>
        <v>Emporium</v>
      </c>
      <c r="B19" s="103" t="str">
        <f t="shared" si="0"/>
        <v>Emporium Automobile Pvt. Ltd.3955</v>
      </c>
      <c r="C19" s="103" t="s">
        <v>14</v>
      </c>
      <c r="D19" s="5">
        <v>10161</v>
      </c>
      <c r="E19" s="5">
        <v>3955</v>
      </c>
      <c r="F19" s="3" t="s">
        <v>196</v>
      </c>
      <c r="G19" s="3" t="s">
        <v>857</v>
      </c>
      <c r="H19" s="3" t="s">
        <v>858</v>
      </c>
      <c r="I19" s="3" t="s">
        <v>461</v>
      </c>
      <c r="J19" s="9">
        <v>80</v>
      </c>
      <c r="K19" s="9">
        <v>40</v>
      </c>
      <c r="L19" s="9">
        <v>80</v>
      </c>
      <c r="M19" s="9">
        <v>60</v>
      </c>
      <c r="N19" s="9">
        <v>60</v>
      </c>
      <c r="O19" s="9">
        <v>80</v>
      </c>
      <c r="P19" s="9">
        <f t="shared" si="1"/>
        <v>400</v>
      </c>
      <c r="Q19" s="18">
        <v>1</v>
      </c>
      <c r="R19" s="116">
        <v>4.7</v>
      </c>
      <c r="S19" s="19" t="str">
        <f t="shared" si="2"/>
        <v>10161 (100%)</v>
      </c>
      <c r="T19" s="9">
        <f t="shared" si="3"/>
        <v>400</v>
      </c>
      <c r="U19" s="9" t="s">
        <v>1043</v>
      </c>
      <c r="V19" s="9" t="s">
        <v>1044</v>
      </c>
      <c r="W19" s="9" t="s">
        <v>1041</v>
      </c>
      <c r="X19" s="18">
        <v>1.0434782608695652</v>
      </c>
      <c r="Y19" s="18">
        <v>0.92020618029739865</v>
      </c>
      <c r="Z19" s="18"/>
      <c r="AA19" s="18"/>
      <c r="AB19" s="75"/>
    </row>
    <row r="20" spans="1:28">
      <c r="A20" s="6" t="str">
        <f>VLOOKUP(D20,[2]Service!$B$15:$H$114,7,FALSE)</f>
        <v>EVM</v>
      </c>
      <c r="B20" s="103" t="str">
        <f t="shared" si="0"/>
        <v>EVM Motors &amp; Vehicles India Pvt Ltd3346</v>
      </c>
      <c r="C20" s="103" t="s">
        <v>15</v>
      </c>
      <c r="D20" s="5">
        <v>20328</v>
      </c>
      <c r="E20" s="5">
        <v>3346</v>
      </c>
      <c r="F20" s="3" t="s">
        <v>196</v>
      </c>
      <c r="G20" s="3" t="s">
        <v>244</v>
      </c>
      <c r="H20" s="3" t="s">
        <v>245</v>
      </c>
      <c r="I20" s="3" t="s">
        <v>461</v>
      </c>
      <c r="J20" s="9">
        <v>80</v>
      </c>
      <c r="K20" s="9">
        <v>40</v>
      </c>
      <c r="L20" s="9">
        <v>0</v>
      </c>
      <c r="M20" s="9">
        <v>75</v>
      </c>
      <c r="N20" s="9">
        <v>75</v>
      </c>
      <c r="O20" s="9">
        <v>80</v>
      </c>
      <c r="P20" s="9">
        <f t="shared" si="1"/>
        <v>0</v>
      </c>
      <c r="Q20" s="18">
        <v>0.47058823529411764</v>
      </c>
      <c r="R20" s="116">
        <v>4.7</v>
      </c>
      <c r="S20" s="19" t="str">
        <f t="shared" si="2"/>
        <v>20328 (47%)</v>
      </c>
      <c r="T20" s="9">
        <f t="shared" si="3"/>
        <v>0</v>
      </c>
      <c r="U20" s="9" t="s">
        <v>1043</v>
      </c>
      <c r="V20" s="9" t="s">
        <v>1044</v>
      </c>
      <c r="W20" s="9" t="s">
        <v>1041</v>
      </c>
      <c r="X20" s="18">
        <v>1.3137254901960784</v>
      </c>
      <c r="Y20" s="18">
        <v>0.84404486763699482</v>
      </c>
      <c r="Z20" s="18"/>
      <c r="AA20" s="18"/>
      <c r="AB20" s="75"/>
    </row>
    <row r="21" spans="1:28">
      <c r="A21" s="6" t="str">
        <f>VLOOKUP(D21,[2]Service!$B$15:$H$114,7,FALSE)</f>
        <v>EVM</v>
      </c>
      <c r="B21" s="103" t="str">
        <f t="shared" si="0"/>
        <v>EVM Motors &amp; Vehicles India Pvt Ltd3346</v>
      </c>
      <c r="C21" s="103" t="s">
        <v>15</v>
      </c>
      <c r="D21" s="5">
        <v>20340</v>
      </c>
      <c r="E21" s="5">
        <v>3346</v>
      </c>
      <c r="F21" s="3" t="s">
        <v>196</v>
      </c>
      <c r="G21" s="3" t="s">
        <v>859</v>
      </c>
      <c r="H21" s="3" t="s">
        <v>243</v>
      </c>
      <c r="I21" s="3" t="s">
        <v>461</v>
      </c>
      <c r="J21" s="9">
        <v>80</v>
      </c>
      <c r="K21" s="9">
        <v>40</v>
      </c>
      <c r="L21" s="9">
        <v>0</v>
      </c>
      <c r="M21" s="9">
        <v>60</v>
      </c>
      <c r="N21" s="9">
        <v>60</v>
      </c>
      <c r="O21" s="9">
        <v>80</v>
      </c>
      <c r="P21" s="9">
        <f t="shared" si="1"/>
        <v>0</v>
      </c>
      <c r="Q21" s="18">
        <v>0.3348930481283422</v>
      </c>
      <c r="R21" s="116">
        <v>4.7</v>
      </c>
      <c r="S21" s="19" t="str">
        <f t="shared" si="2"/>
        <v>20340 (33%)</v>
      </c>
      <c r="T21" s="9">
        <f t="shared" si="3"/>
        <v>0</v>
      </c>
      <c r="U21" s="9" t="s">
        <v>1043</v>
      </c>
      <c r="V21" s="9" t="s">
        <v>1044</v>
      </c>
      <c r="W21" s="9" t="s">
        <v>1041</v>
      </c>
      <c r="X21" s="18">
        <v>1.3137254901960784</v>
      </c>
      <c r="Y21" s="18">
        <v>0.84404486763699482</v>
      </c>
      <c r="Z21" s="18"/>
      <c r="AA21" s="18"/>
      <c r="AB21" s="75"/>
    </row>
    <row r="22" spans="1:28">
      <c r="A22" s="6" t="str">
        <f>VLOOKUP(D22,[2]Service!$B$15:$H$114,7,FALSE)</f>
        <v>EVM</v>
      </c>
      <c r="B22" s="103" t="str">
        <f t="shared" si="0"/>
        <v>EVM Motors &amp; Vehicles India Pvt Ltd3346</v>
      </c>
      <c r="C22" s="103" t="s">
        <v>15</v>
      </c>
      <c r="D22" s="5">
        <v>20376</v>
      </c>
      <c r="E22" s="5">
        <v>3346</v>
      </c>
      <c r="F22" s="3" t="s">
        <v>196</v>
      </c>
      <c r="G22" s="3" t="s">
        <v>246</v>
      </c>
      <c r="H22" s="3" t="s">
        <v>247</v>
      </c>
      <c r="I22" s="3" t="s">
        <v>461</v>
      </c>
      <c r="J22" s="9">
        <v>0</v>
      </c>
      <c r="K22" s="9">
        <v>40</v>
      </c>
      <c r="L22" s="9">
        <v>0</v>
      </c>
      <c r="M22" s="9">
        <v>0</v>
      </c>
      <c r="N22" s="9">
        <v>0</v>
      </c>
      <c r="O22" s="9">
        <v>80</v>
      </c>
      <c r="P22" s="9">
        <f t="shared" si="1"/>
        <v>0</v>
      </c>
      <c r="Q22" s="18">
        <v>0.19451871657754011</v>
      </c>
      <c r="R22" s="116">
        <v>4.7</v>
      </c>
      <c r="S22" s="19" t="str">
        <f t="shared" si="2"/>
        <v>20376 (19%)</v>
      </c>
      <c r="T22" s="9">
        <f t="shared" si="3"/>
        <v>0</v>
      </c>
      <c r="U22" s="9" t="s">
        <v>1043</v>
      </c>
      <c r="V22" s="9" t="s">
        <v>1044</v>
      </c>
      <c r="W22" s="9" t="s">
        <v>1041</v>
      </c>
      <c r="X22" s="18">
        <v>1.3137254901960784</v>
      </c>
      <c r="Y22" s="18">
        <v>0.84404486763699482</v>
      </c>
      <c r="Z22" s="18"/>
      <c r="AA22" s="18"/>
      <c r="AB22" s="75"/>
    </row>
    <row r="23" spans="1:28">
      <c r="A23" s="6" t="str">
        <f>VLOOKUP(D23,[2]Service!$B$15:$H$114,7,FALSE)</f>
        <v>EXCEL</v>
      </c>
      <c r="B23" s="103" t="str">
        <f t="shared" si="0"/>
        <v>Excel Cars Pvt. Ltd.3343</v>
      </c>
      <c r="C23" s="103" t="s">
        <v>16</v>
      </c>
      <c r="D23" s="5">
        <v>10361</v>
      </c>
      <c r="E23" s="5">
        <v>3343</v>
      </c>
      <c r="F23" s="3" t="s">
        <v>196</v>
      </c>
      <c r="G23" s="3" t="s">
        <v>851</v>
      </c>
      <c r="H23" s="3" t="s">
        <v>257</v>
      </c>
      <c r="I23" s="3" t="s">
        <v>461</v>
      </c>
      <c r="J23" s="9">
        <v>80</v>
      </c>
      <c r="K23" s="9">
        <v>50</v>
      </c>
      <c r="L23" s="9">
        <v>80</v>
      </c>
      <c r="M23" s="9">
        <v>75</v>
      </c>
      <c r="N23" s="9">
        <v>0</v>
      </c>
      <c r="O23" s="9">
        <v>100</v>
      </c>
      <c r="P23" s="9">
        <f t="shared" si="1"/>
        <v>385</v>
      </c>
      <c r="Q23" s="18">
        <v>1</v>
      </c>
      <c r="R23" s="116">
        <v>4.8</v>
      </c>
      <c r="S23" s="19" t="str">
        <f t="shared" si="2"/>
        <v>10361 (100%)</v>
      </c>
      <c r="T23" s="9">
        <f t="shared" si="3"/>
        <v>385</v>
      </c>
      <c r="U23" s="9" t="s">
        <v>1043</v>
      </c>
      <c r="V23" s="9" t="s">
        <v>1044</v>
      </c>
      <c r="W23" s="9" t="s">
        <v>1040</v>
      </c>
      <c r="X23" s="18">
        <v>1.0256410256410255</v>
      </c>
      <c r="Y23" s="18">
        <v>1.0582595066921601</v>
      </c>
      <c r="Z23" s="18"/>
      <c r="AA23" s="18"/>
      <c r="AB23" s="75"/>
    </row>
    <row r="24" spans="1:28">
      <c r="A24" s="6" t="str">
        <f>VLOOKUP(D24,[2]Service!$B$15:$H$114,7,FALSE)</f>
        <v>FATEHPURIA</v>
      </c>
      <c r="B24" s="103" t="str">
        <f t="shared" si="0"/>
        <v>Fatehpuria Motocorp Pvt Ltd 2688</v>
      </c>
      <c r="C24" s="103" t="s">
        <v>17</v>
      </c>
      <c r="D24" s="5">
        <v>10356</v>
      </c>
      <c r="E24" s="5">
        <v>2688</v>
      </c>
      <c r="F24" s="3" t="s">
        <v>196</v>
      </c>
      <c r="G24" s="3" t="s">
        <v>258</v>
      </c>
      <c r="H24" s="3" t="s">
        <v>259</v>
      </c>
      <c r="I24" s="3" t="s">
        <v>461</v>
      </c>
      <c r="J24" s="9">
        <v>0</v>
      </c>
      <c r="K24" s="9">
        <v>40</v>
      </c>
      <c r="L24" s="9">
        <v>0</v>
      </c>
      <c r="M24" s="9">
        <v>0</v>
      </c>
      <c r="N24" s="9">
        <v>60</v>
      </c>
      <c r="O24" s="9">
        <v>80</v>
      </c>
      <c r="P24" s="9">
        <f t="shared" si="1"/>
        <v>180</v>
      </c>
      <c r="Q24" s="18">
        <v>1</v>
      </c>
      <c r="R24" s="116">
        <v>4.7</v>
      </c>
      <c r="S24" s="19" t="str">
        <f t="shared" si="2"/>
        <v>10356 (100%)</v>
      </c>
      <c r="T24" s="9">
        <f t="shared" si="3"/>
        <v>180</v>
      </c>
      <c r="U24" s="9" t="s">
        <v>1043</v>
      </c>
      <c r="V24" s="9" t="s">
        <v>1044</v>
      </c>
      <c r="W24" s="9" t="s">
        <v>1040</v>
      </c>
      <c r="X24" s="18">
        <v>1.2857142857142858</v>
      </c>
      <c r="Y24" s="18">
        <v>1.2926704696969704</v>
      </c>
      <c r="Z24" s="18"/>
      <c r="AA24" s="18"/>
      <c r="AB24" s="75"/>
    </row>
    <row r="25" spans="1:28">
      <c r="A25" s="6" t="str">
        <f>VLOOKUP(D25,[2]Service!$B$15:$H$114,7,FALSE)</f>
        <v>FRONTIER</v>
      </c>
      <c r="B25" s="103" t="str">
        <f t="shared" si="0"/>
        <v>Frontier Cars India Pvt Ltd3815</v>
      </c>
      <c r="C25" s="103" t="s">
        <v>18</v>
      </c>
      <c r="D25" s="5">
        <v>20341</v>
      </c>
      <c r="E25" s="5">
        <v>3815</v>
      </c>
      <c r="F25" s="3" t="s">
        <v>196</v>
      </c>
      <c r="G25" s="3" t="s">
        <v>263</v>
      </c>
      <c r="H25" s="3" t="s">
        <v>263</v>
      </c>
      <c r="I25" s="3" t="s">
        <v>461</v>
      </c>
      <c r="J25" s="9">
        <v>80</v>
      </c>
      <c r="K25" s="9">
        <v>50</v>
      </c>
      <c r="L25" s="9">
        <v>0</v>
      </c>
      <c r="M25" s="9">
        <v>0</v>
      </c>
      <c r="N25" s="9">
        <v>0</v>
      </c>
      <c r="O25" s="9">
        <v>80</v>
      </c>
      <c r="P25" s="9">
        <f t="shared" si="1"/>
        <v>0</v>
      </c>
      <c r="Q25" s="18">
        <v>1</v>
      </c>
      <c r="R25" s="116">
        <v>4.8</v>
      </c>
      <c r="S25" s="19" t="str">
        <f t="shared" si="2"/>
        <v>20341 (100%)</v>
      </c>
      <c r="T25" s="9">
        <f t="shared" si="3"/>
        <v>0</v>
      </c>
      <c r="U25" s="9" t="s">
        <v>1043</v>
      </c>
      <c r="V25" s="9" t="s">
        <v>1044</v>
      </c>
      <c r="W25" s="9" t="s">
        <v>1041</v>
      </c>
      <c r="X25" s="18">
        <v>0.90625</v>
      </c>
      <c r="Y25" s="18">
        <v>0.7881997401574804</v>
      </c>
      <c r="Z25" s="18"/>
      <c r="AA25" s="18"/>
      <c r="AB25" s="75"/>
    </row>
    <row r="26" spans="1:28">
      <c r="A26" s="6" t="str">
        <f>VLOOKUP(D26,[2]Service!$B$15:$H$114,7,FALSE)</f>
        <v>Garnet</v>
      </c>
      <c r="B26" s="103" t="str">
        <f t="shared" si="0"/>
        <v>Garnet Motors (D) Pvt. Ltd.3766</v>
      </c>
      <c r="C26" s="103" t="s">
        <v>19</v>
      </c>
      <c r="D26" s="5">
        <v>20399</v>
      </c>
      <c r="E26" s="5">
        <v>3766</v>
      </c>
      <c r="F26" s="3" t="s">
        <v>196</v>
      </c>
      <c r="G26" s="3" t="s">
        <v>860</v>
      </c>
      <c r="H26" s="3" t="s">
        <v>200</v>
      </c>
      <c r="I26" s="3" t="s">
        <v>464</v>
      </c>
      <c r="J26" s="9">
        <v>80</v>
      </c>
      <c r="K26" s="9">
        <v>40</v>
      </c>
      <c r="L26" s="9">
        <v>0</v>
      </c>
      <c r="M26" s="9">
        <v>75</v>
      </c>
      <c r="N26" s="9">
        <v>0</v>
      </c>
      <c r="O26" s="9">
        <v>0</v>
      </c>
      <c r="P26" s="9">
        <f t="shared" si="1"/>
        <v>0</v>
      </c>
      <c r="Q26" s="18">
        <v>1</v>
      </c>
      <c r="R26" s="116">
        <v>4.5999999999999996</v>
      </c>
      <c r="S26" s="19" t="str">
        <f t="shared" si="2"/>
        <v>20399 (100%)</v>
      </c>
      <c r="T26" s="9">
        <f t="shared" si="3"/>
        <v>0</v>
      </c>
      <c r="U26" s="9" t="s">
        <v>1043</v>
      </c>
      <c r="V26" s="9" t="s">
        <v>1044</v>
      </c>
      <c r="W26" s="9" t="s">
        <v>1041</v>
      </c>
      <c r="X26" s="18">
        <v>1.0515463917525774</v>
      </c>
      <c r="Y26" s="18">
        <v>1.1453661559496153</v>
      </c>
      <c r="Z26" s="18"/>
      <c r="AA26" s="18"/>
      <c r="AB26" s="75"/>
    </row>
    <row r="27" spans="1:28">
      <c r="A27" s="6" t="str">
        <f>VLOOKUP(D27,[2]Service!$B$15:$H$114,7,FALSE)</f>
        <v>GARVE</v>
      </c>
      <c r="B27" s="103" t="str">
        <f t="shared" si="0"/>
        <v>Garve Car Mania Pvt Ltd2294</v>
      </c>
      <c r="C27" s="103" t="s">
        <v>20</v>
      </c>
      <c r="D27" s="5">
        <v>20322</v>
      </c>
      <c r="E27" s="5">
        <v>2294</v>
      </c>
      <c r="F27" s="3" t="s">
        <v>196</v>
      </c>
      <c r="G27" s="3" t="s">
        <v>861</v>
      </c>
      <c r="H27" s="3" t="s">
        <v>208</v>
      </c>
      <c r="I27" s="3" t="s">
        <v>464</v>
      </c>
      <c r="J27" s="9">
        <v>100</v>
      </c>
      <c r="K27" s="9">
        <v>50</v>
      </c>
      <c r="L27" s="9">
        <v>100</v>
      </c>
      <c r="M27" s="9">
        <v>75</v>
      </c>
      <c r="N27" s="9">
        <v>60</v>
      </c>
      <c r="O27" s="9">
        <v>80</v>
      </c>
      <c r="P27" s="9">
        <f t="shared" si="1"/>
        <v>465</v>
      </c>
      <c r="Q27" s="18">
        <v>1</v>
      </c>
      <c r="R27" s="116">
        <v>4.7</v>
      </c>
      <c r="S27" s="19" t="str">
        <f t="shared" si="2"/>
        <v>20322 (100%)</v>
      </c>
      <c r="T27" s="9">
        <f t="shared" si="3"/>
        <v>465</v>
      </c>
      <c r="U27" s="9" t="s">
        <v>1043</v>
      </c>
      <c r="V27" s="9" t="s">
        <v>1044</v>
      </c>
      <c r="W27" s="9" t="s">
        <v>1041</v>
      </c>
      <c r="X27" s="18">
        <v>1.101010101010101</v>
      </c>
      <c r="Y27" s="18">
        <v>1.1157297199646636</v>
      </c>
      <c r="Z27" s="18"/>
      <c r="AA27" s="18"/>
      <c r="AB27" s="75"/>
    </row>
    <row r="28" spans="1:28">
      <c r="A28" s="6" t="str">
        <f>VLOOKUP(D28,[2]Service!$B$15:$H$114,7,FALSE)</f>
        <v>Gem</v>
      </c>
      <c r="B28" s="103" t="str">
        <f t="shared" si="0"/>
        <v>Gem Phoenix Auto Pvt Ltd2266</v>
      </c>
      <c r="C28" s="103" t="s">
        <v>21</v>
      </c>
      <c r="D28" s="5">
        <v>20366</v>
      </c>
      <c r="E28" s="5">
        <v>2266</v>
      </c>
      <c r="F28" s="3" t="s">
        <v>196</v>
      </c>
      <c r="G28" s="3" t="s">
        <v>862</v>
      </c>
      <c r="H28" s="3" t="s">
        <v>279</v>
      </c>
      <c r="I28" s="3" t="s">
        <v>464</v>
      </c>
      <c r="J28" s="9">
        <v>80</v>
      </c>
      <c r="K28" s="9">
        <v>40</v>
      </c>
      <c r="L28" s="9">
        <v>0</v>
      </c>
      <c r="M28" s="9">
        <v>75</v>
      </c>
      <c r="N28" s="9">
        <v>0</v>
      </c>
      <c r="O28" s="9">
        <v>0</v>
      </c>
      <c r="P28" s="9">
        <f t="shared" si="1"/>
        <v>195</v>
      </c>
      <c r="Q28" s="18">
        <v>1</v>
      </c>
      <c r="R28" s="116">
        <v>4.7</v>
      </c>
      <c r="S28" s="19" t="str">
        <f t="shared" si="2"/>
        <v>20366 (100%)</v>
      </c>
      <c r="T28" s="9">
        <f t="shared" si="3"/>
        <v>195</v>
      </c>
      <c r="U28" s="9" t="s">
        <v>1043</v>
      </c>
      <c r="V28" s="9" t="s">
        <v>1044</v>
      </c>
      <c r="W28" s="9" t="s">
        <v>1041</v>
      </c>
      <c r="X28" s="18">
        <v>1.2295081967213115</v>
      </c>
      <c r="Y28" s="18">
        <v>1.0094327573529422</v>
      </c>
      <c r="Z28" s="18"/>
      <c r="AA28" s="18"/>
      <c r="AB28" s="75"/>
    </row>
    <row r="29" spans="1:28">
      <c r="A29" s="6" t="s">
        <v>1097</v>
      </c>
      <c r="B29" s="103" t="str">
        <f t="shared" si="0"/>
        <v>(Global) Fulcrum Autoline Pvt Ltd3258</v>
      </c>
      <c r="C29" s="103" t="s">
        <v>1098</v>
      </c>
      <c r="D29" s="5">
        <v>20425</v>
      </c>
      <c r="E29" s="5">
        <v>3258</v>
      </c>
      <c r="F29" s="3" t="s">
        <v>196</v>
      </c>
      <c r="G29" s="3" t="s">
        <v>863</v>
      </c>
      <c r="H29" s="3" t="s">
        <v>281</v>
      </c>
      <c r="I29" s="3" t="s">
        <v>464</v>
      </c>
      <c r="J29" s="9">
        <v>80</v>
      </c>
      <c r="K29" s="9">
        <v>0</v>
      </c>
      <c r="L29" s="9">
        <v>100</v>
      </c>
      <c r="M29" s="9">
        <v>0</v>
      </c>
      <c r="N29" s="9">
        <v>0</v>
      </c>
      <c r="O29" s="9">
        <v>0</v>
      </c>
      <c r="P29" s="9">
        <f t="shared" si="1"/>
        <v>0</v>
      </c>
      <c r="Q29" s="18">
        <v>1</v>
      </c>
      <c r="R29" s="116">
        <v>4.5999999999999996</v>
      </c>
      <c r="S29" s="19" t="str">
        <f t="shared" si="2"/>
        <v>20425 (100%)</v>
      </c>
      <c r="T29" s="9">
        <f t="shared" si="3"/>
        <v>0</v>
      </c>
      <c r="U29" s="9" t="s">
        <v>1043</v>
      </c>
      <c r="V29" s="9" t="s">
        <v>1044</v>
      </c>
      <c r="W29" s="9" t="s">
        <v>1041</v>
      </c>
      <c r="X29" s="18">
        <v>4.0384615384615383</v>
      </c>
      <c r="Y29" s="18">
        <v>1</v>
      </c>
      <c r="Z29" s="18"/>
      <c r="AA29" s="18"/>
      <c r="AB29" s="75"/>
    </row>
    <row r="30" spans="1:28">
      <c r="A30" s="6" t="str">
        <f>VLOOKUP(D30,[2]Service!$B$15:$H$114,7,FALSE)</f>
        <v>GURUDEV</v>
      </c>
      <c r="B30" s="103" t="str">
        <f t="shared" si="0"/>
        <v>Gurudev Motors Pvt. Ltd1453</v>
      </c>
      <c r="C30" s="103" t="s">
        <v>23</v>
      </c>
      <c r="D30" s="5">
        <v>10039</v>
      </c>
      <c r="E30" s="5">
        <v>1453</v>
      </c>
      <c r="F30" s="3" t="s">
        <v>197</v>
      </c>
      <c r="G30" s="3" t="s">
        <v>864</v>
      </c>
      <c r="H30" s="3" t="s">
        <v>290</v>
      </c>
      <c r="I30" s="3" t="s">
        <v>463</v>
      </c>
      <c r="J30" s="9">
        <v>100</v>
      </c>
      <c r="K30" s="9">
        <v>40</v>
      </c>
      <c r="L30" s="9">
        <v>80</v>
      </c>
      <c r="M30" s="9">
        <v>60</v>
      </c>
      <c r="N30" s="9">
        <v>0</v>
      </c>
      <c r="O30" s="9">
        <v>0</v>
      </c>
      <c r="P30" s="9">
        <f t="shared" si="1"/>
        <v>0</v>
      </c>
      <c r="Q30" s="18">
        <v>0.32648870636550315</v>
      </c>
      <c r="R30" s="116">
        <v>4.5999999999999996</v>
      </c>
      <c r="S30" s="19" t="str">
        <f t="shared" si="2"/>
        <v>10039 (33%)</v>
      </c>
      <c r="T30" s="9">
        <f t="shared" si="3"/>
        <v>0</v>
      </c>
      <c r="U30" s="9" t="s">
        <v>1043</v>
      </c>
      <c r="V30" s="9" t="s">
        <v>1044</v>
      </c>
      <c r="W30" s="9" t="s">
        <v>1041</v>
      </c>
      <c r="X30" s="18">
        <v>1.1716417910447761</v>
      </c>
      <c r="Y30" s="18">
        <v>0.90835819661190953</v>
      </c>
      <c r="Z30" s="18"/>
      <c r="AA30" s="18"/>
      <c r="AB30" s="75"/>
    </row>
    <row r="31" spans="1:28">
      <c r="A31" s="6" t="str">
        <f>VLOOKUP(D31,[2]Service!$B$15:$H$114,7,FALSE)</f>
        <v>GURUDEV</v>
      </c>
      <c r="B31" s="103" t="str">
        <f t="shared" si="0"/>
        <v>Gurudev Motors Pvt. Ltd1453</v>
      </c>
      <c r="C31" s="103" t="s">
        <v>23</v>
      </c>
      <c r="D31" s="5">
        <v>20061</v>
      </c>
      <c r="E31" s="5">
        <v>1453</v>
      </c>
      <c r="F31" s="3" t="s">
        <v>197</v>
      </c>
      <c r="G31" s="3" t="s">
        <v>293</v>
      </c>
      <c r="H31" s="3" t="s">
        <v>294</v>
      </c>
      <c r="I31" s="3" t="s">
        <v>463</v>
      </c>
      <c r="J31" s="9">
        <v>80</v>
      </c>
      <c r="K31" s="9">
        <v>50</v>
      </c>
      <c r="L31" s="9">
        <v>80</v>
      </c>
      <c r="M31" s="9">
        <v>60</v>
      </c>
      <c r="N31" s="9">
        <v>75</v>
      </c>
      <c r="O31" s="9">
        <v>100</v>
      </c>
      <c r="P31" s="9">
        <f t="shared" si="1"/>
        <v>445</v>
      </c>
      <c r="Q31" s="18">
        <v>9.8049281314168388E-2</v>
      </c>
      <c r="R31" s="116">
        <v>4.7</v>
      </c>
      <c r="S31" s="19" t="str">
        <f t="shared" si="2"/>
        <v>20061 (10%)</v>
      </c>
      <c r="T31" s="9">
        <f t="shared" si="3"/>
        <v>44</v>
      </c>
      <c r="U31" s="9" t="s">
        <v>1043</v>
      </c>
      <c r="V31" s="9" t="s">
        <v>1044</v>
      </c>
      <c r="W31" s="9" t="s">
        <v>1040</v>
      </c>
      <c r="X31" s="18">
        <v>1.1716417910447761</v>
      </c>
      <c r="Y31" s="18">
        <v>0.90835819661190953</v>
      </c>
      <c r="Z31" s="18"/>
      <c r="AA31" s="18"/>
      <c r="AB31" s="75"/>
    </row>
    <row r="32" spans="1:28">
      <c r="A32" s="6" t="str">
        <f>VLOOKUP(D32,[2]Service!$B$15:$H$114,7,FALSE)</f>
        <v>GURUDEV</v>
      </c>
      <c r="B32" s="103" t="str">
        <f t="shared" si="0"/>
        <v>Gurudev Motors Pvt. Ltd1453</v>
      </c>
      <c r="C32" s="103" t="s">
        <v>23</v>
      </c>
      <c r="D32" s="5">
        <v>23039</v>
      </c>
      <c r="E32" s="5">
        <v>1453</v>
      </c>
      <c r="F32" s="3" t="s">
        <v>196</v>
      </c>
      <c r="G32" s="3" t="s">
        <v>289</v>
      </c>
      <c r="H32" s="3" t="s">
        <v>290</v>
      </c>
      <c r="I32" s="3" t="s">
        <v>464</v>
      </c>
      <c r="J32" s="9">
        <v>100</v>
      </c>
      <c r="K32" s="9">
        <v>40</v>
      </c>
      <c r="L32" s="9">
        <v>80</v>
      </c>
      <c r="M32" s="9">
        <v>75</v>
      </c>
      <c r="N32" s="9">
        <v>75</v>
      </c>
      <c r="O32" s="9">
        <v>80</v>
      </c>
      <c r="P32" s="9">
        <f t="shared" si="1"/>
        <v>0</v>
      </c>
      <c r="Q32" s="18">
        <v>0.4229979466119097</v>
      </c>
      <c r="R32" s="116">
        <v>4.5999999999999996</v>
      </c>
      <c r="S32" s="19" t="str">
        <f t="shared" si="2"/>
        <v>23039 (42%)</v>
      </c>
      <c r="T32" s="9">
        <f t="shared" si="3"/>
        <v>0</v>
      </c>
      <c r="U32" s="9" t="s">
        <v>1043</v>
      </c>
      <c r="V32" s="9" t="s">
        <v>1044</v>
      </c>
      <c r="W32" s="9" t="s">
        <v>1040</v>
      </c>
      <c r="X32" s="18">
        <v>1.1716417910447761</v>
      </c>
      <c r="Y32" s="18">
        <v>0.90835819661190953</v>
      </c>
      <c r="Z32" s="18"/>
      <c r="AA32" s="18"/>
      <c r="AB32" s="75"/>
    </row>
    <row r="33" spans="1:28">
      <c r="A33" s="6" t="str">
        <f>VLOOKUP(D33,[2]Service!$B$15:$H$114,7,FALSE)</f>
        <v>GURUDEV</v>
      </c>
      <c r="B33" s="103" t="str">
        <f t="shared" si="0"/>
        <v>Gurudev Motors Pvt. Ltd1453</v>
      </c>
      <c r="C33" s="103" t="s">
        <v>23</v>
      </c>
      <c r="D33" s="5">
        <v>10118</v>
      </c>
      <c r="E33" s="5">
        <v>1453</v>
      </c>
      <c r="F33" s="3" t="s">
        <v>196</v>
      </c>
      <c r="G33" s="3" t="s">
        <v>865</v>
      </c>
      <c r="H33" s="3" t="s">
        <v>292</v>
      </c>
      <c r="I33" s="3" t="s">
        <v>464</v>
      </c>
      <c r="J33" s="9">
        <v>100</v>
      </c>
      <c r="K33" s="9">
        <v>50</v>
      </c>
      <c r="L33" s="9">
        <v>80</v>
      </c>
      <c r="M33" s="9">
        <v>75</v>
      </c>
      <c r="N33" s="9">
        <v>75</v>
      </c>
      <c r="O33" s="9">
        <v>100</v>
      </c>
      <c r="P33" s="9">
        <f t="shared" si="1"/>
        <v>0</v>
      </c>
      <c r="Q33" s="18">
        <v>0.15246406570841892</v>
      </c>
      <c r="R33" s="116">
        <v>4.5999999999999996</v>
      </c>
      <c r="S33" s="19" t="str">
        <f t="shared" si="2"/>
        <v>10118 (15%)</v>
      </c>
      <c r="T33" s="9">
        <f t="shared" si="3"/>
        <v>0</v>
      </c>
      <c r="U33" s="9" t="s">
        <v>1043</v>
      </c>
      <c r="V33" s="9" t="s">
        <v>1044</v>
      </c>
      <c r="W33" s="9" t="s">
        <v>1040</v>
      </c>
      <c r="X33" s="18">
        <v>1.1716417910447761</v>
      </c>
      <c r="Y33" s="18">
        <v>0.90835819661190953</v>
      </c>
      <c r="Z33" s="18"/>
      <c r="AA33" s="18"/>
      <c r="AB33" s="75"/>
    </row>
    <row r="34" spans="1:28">
      <c r="A34" s="6" t="str">
        <f>VLOOKUP(D34,[2]Service!$B$15:$H$114,7,FALSE)</f>
        <v>HDAPL</v>
      </c>
      <c r="B34" s="103" t="str">
        <f t="shared" si="0"/>
        <v>HD Autowheels Pvt. Ltd.3420</v>
      </c>
      <c r="C34" s="103" t="s">
        <v>24</v>
      </c>
      <c r="D34" s="5">
        <v>20377</v>
      </c>
      <c r="E34" s="5">
        <v>3420</v>
      </c>
      <c r="F34" s="3" t="s">
        <v>196</v>
      </c>
      <c r="G34" s="3" t="s">
        <v>866</v>
      </c>
      <c r="H34" s="3" t="s">
        <v>300</v>
      </c>
      <c r="I34" s="3" t="s">
        <v>464</v>
      </c>
      <c r="J34" s="9">
        <v>80</v>
      </c>
      <c r="K34" s="9">
        <v>40</v>
      </c>
      <c r="L34" s="9">
        <v>0</v>
      </c>
      <c r="M34" s="9">
        <v>75</v>
      </c>
      <c r="N34" s="9">
        <v>60</v>
      </c>
      <c r="O34" s="9">
        <v>0</v>
      </c>
      <c r="P34" s="9">
        <f t="shared" si="1"/>
        <v>255</v>
      </c>
      <c r="Q34" s="18">
        <v>1</v>
      </c>
      <c r="R34" s="116">
        <v>4.7</v>
      </c>
      <c r="S34" s="19" t="str">
        <f t="shared" si="2"/>
        <v>20377 (100%)</v>
      </c>
      <c r="T34" s="9">
        <f t="shared" si="3"/>
        <v>255</v>
      </c>
      <c r="U34" s="9" t="s">
        <v>1043</v>
      </c>
      <c r="V34" s="9" t="s">
        <v>1044</v>
      </c>
      <c r="W34" s="9" t="s">
        <v>1041</v>
      </c>
      <c r="X34" s="18">
        <v>1.3</v>
      </c>
      <c r="Y34" s="18">
        <v>1.2645097569060784</v>
      </c>
      <c r="Z34" s="18"/>
      <c r="AA34" s="18"/>
      <c r="AB34" s="75"/>
    </row>
    <row r="35" spans="1:28">
      <c r="A35" s="6" t="str">
        <f>VLOOKUP(D35,[2]Service!$B$15:$H$114,7,FALSE)</f>
        <v>IMPERIAL</v>
      </c>
      <c r="B35" s="103" t="str">
        <f t="shared" si="0"/>
        <v>Imperial 3S Jamshedpur 2466</v>
      </c>
      <c r="C35" s="103" t="s">
        <v>25</v>
      </c>
      <c r="D35" s="5">
        <v>10082</v>
      </c>
      <c r="E35" s="5">
        <v>2466</v>
      </c>
      <c r="F35" s="3" t="s">
        <v>196</v>
      </c>
      <c r="G35" s="3" t="s">
        <v>301</v>
      </c>
      <c r="H35" s="3" t="s">
        <v>302</v>
      </c>
      <c r="I35" s="3" t="s">
        <v>458</v>
      </c>
      <c r="J35" s="9">
        <v>0</v>
      </c>
      <c r="K35" s="9">
        <v>50</v>
      </c>
      <c r="L35" s="9">
        <v>0</v>
      </c>
      <c r="M35" s="9">
        <v>0</v>
      </c>
      <c r="N35" s="9">
        <v>75</v>
      </c>
      <c r="O35" s="9">
        <v>80</v>
      </c>
      <c r="P35" s="9">
        <f t="shared" si="1"/>
        <v>0</v>
      </c>
      <c r="Q35" s="18">
        <v>1</v>
      </c>
      <c r="R35" s="116">
        <v>4.0999999999999996</v>
      </c>
      <c r="S35" s="19" t="str">
        <f t="shared" si="2"/>
        <v>10082 (100%)</v>
      </c>
      <c r="T35" s="9">
        <f t="shared" si="3"/>
        <v>0</v>
      </c>
      <c r="U35" s="9" t="s">
        <v>1043</v>
      </c>
      <c r="V35" s="9" t="s">
        <v>1044</v>
      </c>
      <c r="W35" s="9" t="s">
        <v>1040</v>
      </c>
      <c r="X35" s="18">
        <v>0.61290322580645162</v>
      </c>
      <c r="Y35" s="18">
        <v>0.69712890909090908</v>
      </c>
      <c r="Z35" s="18"/>
      <c r="AA35" s="18"/>
      <c r="AB35" s="75"/>
    </row>
    <row r="36" spans="1:28">
      <c r="A36" s="6" t="str">
        <f>VLOOKUP(D36,[2]Service!$B$15:$H$114,7,FALSE)</f>
        <v>JSB</v>
      </c>
      <c r="B36" s="103" t="str">
        <f t="shared" si="0"/>
        <v>Jai Auto Vehicles Pvt Ltd2452</v>
      </c>
      <c r="C36" s="103" t="s">
        <v>27</v>
      </c>
      <c r="D36" s="5">
        <v>20281</v>
      </c>
      <c r="E36" s="5">
        <v>2452</v>
      </c>
      <c r="F36" s="3" t="s">
        <v>196</v>
      </c>
      <c r="G36" s="7"/>
      <c r="H36" s="3" t="str">
        <f>VLOOKUP($D36,[3]Service!$B$4:$F$99,5,FALSE)</f>
        <v>New Delhi</v>
      </c>
      <c r="I36" s="3" t="s">
        <v>458</v>
      </c>
      <c r="J36" s="9">
        <v>100</v>
      </c>
      <c r="K36" s="9">
        <v>50</v>
      </c>
      <c r="L36" s="9">
        <v>80</v>
      </c>
      <c r="M36" s="9">
        <v>75</v>
      </c>
      <c r="N36" s="9">
        <v>0</v>
      </c>
      <c r="O36" s="9">
        <v>80</v>
      </c>
      <c r="P36" s="9">
        <f t="shared" si="1"/>
        <v>0</v>
      </c>
      <c r="Q36" s="18">
        <v>0.43491644678979768</v>
      </c>
      <c r="R36" s="116">
        <v>4.7</v>
      </c>
      <c r="S36" s="19" t="str">
        <f t="shared" si="2"/>
        <v>20281 (43%)</v>
      </c>
      <c r="T36" s="9">
        <f t="shared" si="3"/>
        <v>0</v>
      </c>
      <c r="U36" s="9" t="s">
        <v>1043</v>
      </c>
      <c r="V36" s="9" t="s">
        <v>1044</v>
      </c>
      <c r="W36" s="9" t="s">
        <v>1041</v>
      </c>
      <c r="X36" s="18">
        <v>1.2142857142857142</v>
      </c>
      <c r="Y36" s="18">
        <v>0.84865822739623764</v>
      </c>
      <c r="Z36" s="18"/>
      <c r="AA36" s="18"/>
      <c r="AB36" s="75"/>
    </row>
    <row r="37" spans="1:28">
      <c r="A37" s="6" t="str">
        <f>VLOOKUP(D37,[2]Service!$B$15:$H$114,7,FALSE)</f>
        <v>JSB</v>
      </c>
      <c r="B37" s="103" t="str">
        <f t="shared" si="0"/>
        <v>Jai Auto Vehicles Pvt Ltd2452</v>
      </c>
      <c r="C37" s="103" t="s">
        <v>27</v>
      </c>
      <c r="D37" s="5">
        <v>20277</v>
      </c>
      <c r="E37" s="5">
        <v>2452</v>
      </c>
      <c r="F37" s="3" t="s">
        <v>197</v>
      </c>
      <c r="G37" s="3" t="s">
        <v>239</v>
      </c>
      <c r="H37" s="3" t="str">
        <f>VLOOKUP($D37,[3]Service!$B$4:$F$99,5,FALSE)</f>
        <v>Gurugram</v>
      </c>
      <c r="I37" s="3" t="s">
        <v>465</v>
      </c>
      <c r="J37" s="9">
        <v>100</v>
      </c>
      <c r="K37" s="9">
        <v>40</v>
      </c>
      <c r="L37" s="9">
        <v>80</v>
      </c>
      <c r="M37" s="9">
        <v>75</v>
      </c>
      <c r="N37" s="9">
        <v>0</v>
      </c>
      <c r="O37" s="9">
        <v>80</v>
      </c>
      <c r="P37" s="9">
        <f t="shared" si="1"/>
        <v>0</v>
      </c>
      <c r="Q37" s="18">
        <v>0.56508355321020221</v>
      </c>
      <c r="R37" s="116">
        <v>4.7</v>
      </c>
      <c r="S37" s="19" t="str">
        <f t="shared" si="2"/>
        <v>20277 (57%)</v>
      </c>
      <c r="T37" s="9">
        <f>P37*Q37</f>
        <v>0</v>
      </c>
      <c r="U37" s="9" t="s">
        <v>1043</v>
      </c>
      <c r="V37" s="9" t="s">
        <v>1044</v>
      </c>
      <c r="W37" s="9" t="s">
        <v>1040</v>
      </c>
      <c r="X37" s="18">
        <v>1.2142857142857142</v>
      </c>
      <c r="Y37" s="18">
        <v>0.84865822739623764</v>
      </c>
      <c r="Z37" s="18"/>
      <c r="AA37" s="18"/>
      <c r="AB37" s="75"/>
    </row>
    <row r="38" spans="1:28">
      <c r="A38" s="6" t="str">
        <f>VLOOKUP(D38,[2]Service!$B$15:$H$114,7,FALSE)</f>
        <v>K cube</v>
      </c>
      <c r="B38" s="103" t="str">
        <f t="shared" si="0"/>
        <v>K Cube Motors LLP1757</v>
      </c>
      <c r="C38" s="103" t="s">
        <v>28</v>
      </c>
      <c r="D38" s="5">
        <v>10397</v>
      </c>
      <c r="E38" s="5">
        <v>1757</v>
      </c>
      <c r="F38" s="3" t="s">
        <v>197</v>
      </c>
      <c r="G38" s="3" t="s">
        <v>241</v>
      </c>
      <c r="H38" s="3" t="str">
        <f>VLOOKUP($D38,[3]Service!$B$4:$F$99,5,FALSE)</f>
        <v>Itanagar</v>
      </c>
      <c r="I38" s="3" t="s">
        <v>465</v>
      </c>
      <c r="J38" s="9">
        <v>0</v>
      </c>
      <c r="K38" s="9">
        <v>0</v>
      </c>
      <c r="L38" s="9">
        <v>0</v>
      </c>
      <c r="M38" s="9">
        <v>0</v>
      </c>
      <c r="N38" s="9">
        <v>75</v>
      </c>
      <c r="O38" s="9">
        <v>0</v>
      </c>
      <c r="P38" s="9">
        <f t="shared" si="1"/>
        <v>0</v>
      </c>
      <c r="Q38" s="18">
        <v>1</v>
      </c>
      <c r="R38" s="116">
        <v>4.7</v>
      </c>
      <c r="S38" s="19" t="str">
        <f t="shared" si="2"/>
        <v>10397 (100%)</v>
      </c>
      <c r="T38" s="9">
        <f t="shared" si="3"/>
        <v>0</v>
      </c>
      <c r="U38" s="9" t="s">
        <v>1039</v>
      </c>
      <c r="V38" s="9" t="s">
        <v>1044</v>
      </c>
      <c r="W38" s="9" t="s">
        <v>1040</v>
      </c>
      <c r="X38" s="18">
        <v>0.90909090909090906</v>
      </c>
      <c r="Y38" s="18">
        <v>0.26748430303030291</v>
      </c>
      <c r="Z38" s="18"/>
      <c r="AA38" s="18"/>
      <c r="AB38" s="75"/>
    </row>
    <row r="39" spans="1:28">
      <c r="A39" s="6" t="str">
        <f>VLOOKUP(D39,[2]Service!$B$15:$H$114,7,FALSE)</f>
        <v>KAS</v>
      </c>
      <c r="B39" s="103" t="str">
        <f t="shared" si="0"/>
        <v>Krishna Auto Sales 1094</v>
      </c>
      <c r="C39" s="103" t="s">
        <v>29</v>
      </c>
      <c r="D39" s="5">
        <v>10016</v>
      </c>
      <c r="E39" s="5">
        <v>1094</v>
      </c>
      <c r="F39" s="3" t="s">
        <v>197</v>
      </c>
      <c r="G39" s="3" t="s">
        <v>243</v>
      </c>
      <c r="H39" s="3" t="str">
        <f>VLOOKUP($D39,[3]Service!$B$4:$F$99,5,FALSE)</f>
        <v>Chandigarh</v>
      </c>
      <c r="I39" s="3" t="s">
        <v>466</v>
      </c>
      <c r="J39" s="9">
        <v>80</v>
      </c>
      <c r="K39" s="9">
        <v>40</v>
      </c>
      <c r="L39" s="9">
        <v>80</v>
      </c>
      <c r="M39" s="9">
        <v>75</v>
      </c>
      <c r="N39" s="9">
        <v>60</v>
      </c>
      <c r="O39" s="9">
        <v>80</v>
      </c>
      <c r="P39" s="9">
        <f t="shared" si="1"/>
        <v>415</v>
      </c>
      <c r="Q39" s="18">
        <v>0.53288364249578413</v>
      </c>
      <c r="R39" s="116">
        <v>4.7</v>
      </c>
      <c r="S39" s="19" t="str">
        <f t="shared" si="2"/>
        <v>10016 (53%)</v>
      </c>
      <c r="T39" s="9">
        <f t="shared" si="3"/>
        <v>221</v>
      </c>
      <c r="U39" s="9" t="s">
        <v>1043</v>
      </c>
      <c r="V39" s="9" t="s">
        <v>1044</v>
      </c>
      <c r="W39" s="9" t="s">
        <v>1040</v>
      </c>
      <c r="X39" s="18">
        <v>1.0962962962962963</v>
      </c>
      <c r="Y39" s="18">
        <v>1.0855080994940978</v>
      </c>
      <c r="Z39" s="18"/>
      <c r="AA39" s="18"/>
      <c r="AB39" s="75"/>
    </row>
    <row r="40" spans="1:28">
      <c r="A40" s="6" t="str">
        <f>VLOOKUP(D40,[2]Service!$B$15:$H$114,7,FALSE)</f>
        <v>KAS</v>
      </c>
      <c r="B40" s="103" t="str">
        <f t="shared" si="0"/>
        <v>Krishna Auto Sales 1094</v>
      </c>
      <c r="C40" s="103" t="s">
        <v>29</v>
      </c>
      <c r="D40" s="5">
        <v>10018</v>
      </c>
      <c r="E40" s="5">
        <v>1094</v>
      </c>
      <c r="F40" s="3" t="s">
        <v>197</v>
      </c>
      <c r="G40" s="3" t="s">
        <v>244</v>
      </c>
      <c r="H40" s="3" t="str">
        <f>VLOOKUP($D40,[3]Service!$B$4:$F$99,5,FALSE)</f>
        <v>Jalandhar</v>
      </c>
      <c r="I40" s="3" t="s">
        <v>466</v>
      </c>
      <c r="J40" s="9">
        <v>80</v>
      </c>
      <c r="K40" s="9">
        <v>50</v>
      </c>
      <c r="L40" s="9">
        <v>80</v>
      </c>
      <c r="M40" s="9">
        <v>75</v>
      </c>
      <c r="N40" s="9">
        <v>75</v>
      </c>
      <c r="O40" s="9">
        <v>100</v>
      </c>
      <c r="P40" s="9">
        <f t="shared" si="1"/>
        <v>460</v>
      </c>
      <c r="Q40" s="18">
        <v>0.22259696458684652</v>
      </c>
      <c r="R40" s="116">
        <v>4.8</v>
      </c>
      <c r="S40" s="19" t="str">
        <f t="shared" si="2"/>
        <v>10018 (22%)</v>
      </c>
      <c r="T40" s="9">
        <f t="shared" si="3"/>
        <v>102</v>
      </c>
      <c r="U40" s="9" t="s">
        <v>1043</v>
      </c>
      <c r="V40" s="9" t="s">
        <v>1044</v>
      </c>
      <c r="W40" s="9" t="s">
        <v>1040</v>
      </c>
      <c r="X40" s="18">
        <v>1.0962962962962963</v>
      </c>
      <c r="Y40" s="18">
        <v>1.0855080994940978</v>
      </c>
      <c r="Z40" s="18"/>
      <c r="AA40" s="18"/>
      <c r="AB40" s="75"/>
    </row>
    <row r="41" spans="1:28">
      <c r="A41" s="6" t="str">
        <f>VLOOKUP(D41,[2]Service!$B$15:$H$114,7,FALSE)</f>
        <v>KAS</v>
      </c>
      <c r="B41" s="103" t="str">
        <f t="shared" si="0"/>
        <v>Krishna Auto Sales 1094</v>
      </c>
      <c r="C41" s="103" t="s">
        <v>29</v>
      </c>
      <c r="D41" s="5">
        <v>10017</v>
      </c>
      <c r="E41" s="5">
        <v>1094</v>
      </c>
      <c r="F41" s="3" t="s">
        <v>197</v>
      </c>
      <c r="G41" s="3" t="s">
        <v>246</v>
      </c>
      <c r="H41" s="3" t="str">
        <f>VLOOKUP($D41,[3]Service!$B$4:$F$99,5,FALSE)</f>
        <v>Ludhiana</v>
      </c>
      <c r="I41" s="3" t="s">
        <v>466</v>
      </c>
      <c r="J41" s="9">
        <v>0</v>
      </c>
      <c r="K41" s="9">
        <v>50</v>
      </c>
      <c r="L41" s="9">
        <v>80</v>
      </c>
      <c r="M41" s="9">
        <v>75</v>
      </c>
      <c r="N41" s="9">
        <v>75</v>
      </c>
      <c r="O41" s="9">
        <v>100</v>
      </c>
      <c r="P41" s="9">
        <f t="shared" si="1"/>
        <v>380</v>
      </c>
      <c r="Q41" s="18">
        <v>0.24451939291736927</v>
      </c>
      <c r="R41" s="116">
        <v>4.8</v>
      </c>
      <c r="S41" s="19" t="str">
        <f t="shared" si="2"/>
        <v>10017 (24%)</v>
      </c>
      <c r="T41" s="9">
        <f t="shared" si="3"/>
        <v>93</v>
      </c>
      <c r="U41" s="9" t="s">
        <v>1043</v>
      </c>
      <c r="V41" s="9" t="s">
        <v>1044</v>
      </c>
      <c r="W41" s="9" t="s">
        <v>1040</v>
      </c>
      <c r="X41" s="18">
        <v>1.0962962962962963</v>
      </c>
      <c r="Y41" s="18">
        <v>1.0855080994940978</v>
      </c>
      <c r="Z41" s="18"/>
      <c r="AA41" s="18"/>
      <c r="AB41" s="75"/>
    </row>
    <row r="42" spans="1:28" ht="22.8">
      <c r="A42" s="6" t="str">
        <f>VLOOKUP(D42,[2]Service!$B$15:$H$114,7,FALSE)</f>
        <v>KUN CHEN + KUN POND</v>
      </c>
      <c r="B42" s="103" t="str">
        <f t="shared" si="0"/>
        <v>Kun Motor Enterprises Pvt Ltd1515</v>
      </c>
      <c r="C42" s="103" t="s">
        <v>30</v>
      </c>
      <c r="D42" s="5">
        <v>20348</v>
      </c>
      <c r="E42" s="5">
        <v>1515</v>
      </c>
      <c r="F42" s="3" t="s">
        <v>197</v>
      </c>
      <c r="G42" s="3" t="s">
        <v>248</v>
      </c>
      <c r="H42" s="3" t="str">
        <f>VLOOKUP($D42,[3]Service!$B$4:$F$99,5,FALSE)</f>
        <v>Pondicherry</v>
      </c>
      <c r="I42" s="3" t="s">
        <v>466</v>
      </c>
      <c r="J42" s="9">
        <v>100</v>
      </c>
      <c r="K42" s="9">
        <v>50</v>
      </c>
      <c r="L42" s="9">
        <v>0</v>
      </c>
      <c r="M42" s="9">
        <v>75</v>
      </c>
      <c r="N42" s="9">
        <v>75</v>
      </c>
      <c r="O42" s="9">
        <v>80</v>
      </c>
      <c r="P42" s="9">
        <f t="shared" si="1"/>
        <v>380</v>
      </c>
      <c r="Q42" s="18">
        <v>0.22511312217194571</v>
      </c>
      <c r="R42" s="116">
        <v>4.7</v>
      </c>
      <c r="S42" s="19" t="str">
        <f t="shared" si="2"/>
        <v>20348 (23%)</v>
      </c>
      <c r="T42" s="9">
        <f t="shared" si="3"/>
        <v>86</v>
      </c>
      <c r="U42" s="9" t="s">
        <v>1043</v>
      </c>
      <c r="V42" s="9" t="s">
        <v>1044</v>
      </c>
      <c r="W42" s="9" t="s">
        <v>1041</v>
      </c>
      <c r="X42" s="18">
        <v>1.4915254237288136</v>
      </c>
      <c r="Y42" s="18">
        <v>1.0058721131221717</v>
      </c>
      <c r="Z42" s="18"/>
      <c r="AA42" s="18"/>
      <c r="AB42" s="75"/>
    </row>
    <row r="43" spans="1:28" ht="22.8">
      <c r="A43" s="6" t="str">
        <f>VLOOKUP(D43,[2]Service!$B$15:$H$114,7,FALSE)</f>
        <v>KUN CHEN + KUN POND</v>
      </c>
      <c r="B43" s="103" t="str">
        <f t="shared" si="0"/>
        <v>Kun Motor Enterprises Pvt Ltd1515</v>
      </c>
      <c r="C43" s="103" t="s">
        <v>30</v>
      </c>
      <c r="D43" s="5">
        <v>20354</v>
      </c>
      <c r="E43" s="5">
        <v>1515</v>
      </c>
      <c r="F43" s="3" t="s">
        <v>197</v>
      </c>
      <c r="G43" s="3" t="s">
        <v>249</v>
      </c>
      <c r="H43" s="3" t="str">
        <f>VLOOKUP($D43,[3]Service!$B$4:$F$99,5,FALSE)</f>
        <v>Chennai</v>
      </c>
      <c r="I43" s="3" t="s">
        <v>466</v>
      </c>
      <c r="J43" s="9">
        <v>80</v>
      </c>
      <c r="K43" s="9">
        <v>40</v>
      </c>
      <c r="L43" s="9">
        <v>0</v>
      </c>
      <c r="M43" s="9">
        <v>60</v>
      </c>
      <c r="N43" s="9">
        <v>60</v>
      </c>
      <c r="O43" s="9">
        <v>80</v>
      </c>
      <c r="P43" s="9">
        <f t="shared" si="1"/>
        <v>320</v>
      </c>
      <c r="Q43" s="18">
        <v>0.77488687782805432</v>
      </c>
      <c r="R43" s="116">
        <v>4.7</v>
      </c>
      <c r="S43" s="19" t="str">
        <f t="shared" si="2"/>
        <v>20354 (77%)</v>
      </c>
      <c r="T43" s="9">
        <f t="shared" si="3"/>
        <v>248</v>
      </c>
      <c r="U43" s="9" t="s">
        <v>1043</v>
      </c>
      <c r="V43" s="9" t="s">
        <v>1044</v>
      </c>
      <c r="W43" s="9" t="s">
        <v>1041</v>
      </c>
      <c r="X43" s="18">
        <v>1.4915254237288136</v>
      </c>
      <c r="Y43" s="18">
        <v>1.0058721131221717</v>
      </c>
      <c r="Z43" s="18"/>
      <c r="AA43" s="18"/>
      <c r="AB43" s="75"/>
    </row>
    <row r="44" spans="1:28">
      <c r="A44" s="6" t="str">
        <f>VLOOKUP(D44,[2]Service!$B$15:$H$114,7,FALSE)</f>
        <v>MAHAVIR_AP</v>
      </c>
      <c r="B44" s="103" t="str">
        <f t="shared" si="0"/>
        <v>Mahavir Auto  Diagnostics Pvt. Ltd_AP2144</v>
      </c>
      <c r="C44" s="103" t="s">
        <v>58</v>
      </c>
      <c r="D44" s="5">
        <v>26012</v>
      </c>
      <c r="E44" s="5">
        <v>2144</v>
      </c>
      <c r="F44" s="3" t="s">
        <v>197</v>
      </c>
      <c r="G44" s="3" t="s">
        <v>251</v>
      </c>
      <c r="H44" s="3" t="str">
        <f>VLOOKUP($D44,[3]Service!$B$4:$F$99,5,FALSE)</f>
        <v>Vijayawada</v>
      </c>
      <c r="I44" s="3" t="s">
        <v>466</v>
      </c>
      <c r="J44" s="9">
        <v>100</v>
      </c>
      <c r="K44" s="9">
        <v>50</v>
      </c>
      <c r="L44" s="9">
        <v>100</v>
      </c>
      <c r="M44" s="9">
        <v>60</v>
      </c>
      <c r="N44" s="9">
        <v>60</v>
      </c>
      <c r="O44" s="9">
        <v>80</v>
      </c>
      <c r="P44" s="9">
        <f t="shared" si="1"/>
        <v>450</v>
      </c>
      <c r="Q44" s="18">
        <v>0.72196620583717364</v>
      </c>
      <c r="R44" s="116">
        <v>4.7</v>
      </c>
      <c r="S44" s="19" t="str">
        <f t="shared" si="2"/>
        <v>26012 (72%)</v>
      </c>
      <c r="T44" s="9">
        <f t="shared" si="3"/>
        <v>325</v>
      </c>
      <c r="U44" s="9" t="s">
        <v>1043</v>
      </c>
      <c r="V44" s="9" t="s">
        <v>1044</v>
      </c>
      <c r="W44" s="9" t="s">
        <v>1040</v>
      </c>
      <c r="X44" s="18">
        <v>1.1827956989247312</v>
      </c>
      <c r="Y44" s="18">
        <v>1.0925414301075282</v>
      </c>
      <c r="Z44" s="18"/>
      <c r="AA44" s="18"/>
      <c r="AB44" s="75"/>
    </row>
    <row r="45" spans="1:28">
      <c r="A45" s="6" t="str">
        <f>VLOOKUP(D45,[2]Service!$B$15:$H$114,7,FALSE)</f>
        <v>MAHAVIR_AP</v>
      </c>
      <c r="B45" s="103" t="str">
        <f t="shared" si="0"/>
        <v>Mahavir Auto  Diagnostics Pvt. Ltd_AP2144</v>
      </c>
      <c r="C45" s="103" t="s">
        <v>58</v>
      </c>
      <c r="D45" s="5">
        <v>22012</v>
      </c>
      <c r="E45" s="5">
        <v>2144</v>
      </c>
      <c r="F45" s="3" t="s">
        <v>197</v>
      </c>
      <c r="G45" s="3" t="s">
        <v>253</v>
      </c>
      <c r="H45" s="3" t="str">
        <f>VLOOKUP($D45,[3]Service!$B$4:$F$99,5,FALSE)</f>
        <v>Vishakhapatnam</v>
      </c>
      <c r="I45" s="3" t="s">
        <v>466</v>
      </c>
      <c r="J45" s="9">
        <v>100</v>
      </c>
      <c r="K45" s="9">
        <v>40</v>
      </c>
      <c r="L45" s="9">
        <v>100</v>
      </c>
      <c r="M45" s="9">
        <v>0</v>
      </c>
      <c r="N45" s="9">
        <v>0</v>
      </c>
      <c r="O45" s="9">
        <v>80</v>
      </c>
      <c r="P45" s="9">
        <f t="shared" si="1"/>
        <v>320</v>
      </c>
      <c r="Q45" s="18">
        <v>0.27803379416282642</v>
      </c>
      <c r="R45" s="116">
        <v>4.7</v>
      </c>
      <c r="S45" s="19" t="str">
        <f t="shared" si="2"/>
        <v>22012 (28%)</v>
      </c>
      <c r="T45" s="9">
        <f t="shared" si="3"/>
        <v>89</v>
      </c>
      <c r="U45" s="9" t="s">
        <v>1043</v>
      </c>
      <c r="V45" s="9" t="s">
        <v>1044</v>
      </c>
      <c r="W45" s="9" t="s">
        <v>1040</v>
      </c>
      <c r="X45" s="18">
        <v>1.1827956989247312</v>
      </c>
      <c r="Y45" s="18">
        <v>1.0925414301075282</v>
      </c>
      <c r="Z45" s="18"/>
      <c r="AA45" s="18"/>
      <c r="AB45" s="75"/>
    </row>
    <row r="46" spans="1:28">
      <c r="A46" s="6" t="str">
        <f>VLOOKUP(D46,[2]Service!$B$15:$H$114,7,FALSE)</f>
        <v>MAHAVIR_TL</v>
      </c>
      <c r="B46" s="103" t="str">
        <f t="shared" si="0"/>
        <v>Mahavir Auto  Diagnostics Pvt. Ltd_TL3338</v>
      </c>
      <c r="C46" s="103" t="s">
        <v>59</v>
      </c>
      <c r="D46" s="5">
        <v>23012</v>
      </c>
      <c r="E46" s="5">
        <v>3338</v>
      </c>
      <c r="F46" s="3" t="s">
        <v>197</v>
      </c>
      <c r="G46" s="3" t="s">
        <v>254</v>
      </c>
      <c r="H46" s="3" t="str">
        <f>VLOOKUP($D46,[3]Service!$B$4:$F$99,5,FALSE)</f>
        <v>Hyderabad</v>
      </c>
      <c r="I46" s="3" t="s">
        <v>466</v>
      </c>
      <c r="J46" s="9">
        <v>100</v>
      </c>
      <c r="K46" s="9">
        <v>40</v>
      </c>
      <c r="L46" s="9">
        <v>100</v>
      </c>
      <c r="M46" s="9">
        <v>75</v>
      </c>
      <c r="N46" s="9">
        <v>0</v>
      </c>
      <c r="O46" s="9">
        <v>0</v>
      </c>
      <c r="P46" s="9">
        <f t="shared" si="1"/>
        <v>0</v>
      </c>
      <c r="Q46" s="18">
        <v>0.56861499364675983</v>
      </c>
      <c r="R46" s="116">
        <v>4.5</v>
      </c>
      <c r="S46" s="19" t="str">
        <f t="shared" si="2"/>
        <v>23012 (57%)</v>
      </c>
      <c r="T46" s="9">
        <f t="shared" si="3"/>
        <v>0</v>
      </c>
      <c r="U46" s="9" t="s">
        <v>1043</v>
      </c>
      <c r="V46" s="9" t="s">
        <v>1044</v>
      </c>
      <c r="W46" s="9" t="s">
        <v>1041</v>
      </c>
      <c r="X46" s="18">
        <v>1.2035398230088497</v>
      </c>
      <c r="Y46" s="18">
        <v>0.90316732528589561</v>
      </c>
      <c r="Z46" s="18"/>
      <c r="AA46" s="18"/>
      <c r="AB46" s="75"/>
    </row>
    <row r="47" spans="1:28">
      <c r="A47" s="6" t="str">
        <f>VLOOKUP(D47,[2]Service!$B$15:$H$114,7,FALSE)</f>
        <v>MAHAVIR_TL</v>
      </c>
      <c r="B47" s="103" t="str">
        <f t="shared" si="0"/>
        <v>Mahavir Auto  Diagnostics Pvt. Ltd_TL3338</v>
      </c>
      <c r="C47" s="103" t="s">
        <v>59</v>
      </c>
      <c r="D47" s="5">
        <v>24012</v>
      </c>
      <c r="E47" s="5">
        <v>3338</v>
      </c>
      <c r="F47" s="3" t="s">
        <v>197</v>
      </c>
      <c r="G47" s="3" t="s">
        <v>255</v>
      </c>
      <c r="H47" s="3" t="str">
        <f>VLOOKUP($D47,[3]Service!$B$4:$F$99,5,FALSE)</f>
        <v>Secunderabad</v>
      </c>
      <c r="I47" s="3" t="s">
        <v>466</v>
      </c>
      <c r="J47" s="9">
        <v>80</v>
      </c>
      <c r="K47" s="9">
        <v>40</v>
      </c>
      <c r="L47" s="9">
        <v>100</v>
      </c>
      <c r="M47" s="9">
        <v>75</v>
      </c>
      <c r="N47" s="9">
        <v>60</v>
      </c>
      <c r="O47" s="9">
        <v>80</v>
      </c>
      <c r="P47" s="9">
        <f t="shared" si="1"/>
        <v>0</v>
      </c>
      <c r="Q47" s="18">
        <v>0.43138500635324017</v>
      </c>
      <c r="R47" s="116">
        <v>4.4000000000000004</v>
      </c>
      <c r="S47" s="19" t="str">
        <f t="shared" si="2"/>
        <v>24012 (43%)</v>
      </c>
      <c r="T47" s="9">
        <f t="shared" si="3"/>
        <v>0</v>
      </c>
      <c r="U47" s="9" t="s">
        <v>1043</v>
      </c>
      <c r="V47" s="9" t="s">
        <v>1044</v>
      </c>
      <c r="W47" s="9" t="s">
        <v>1041</v>
      </c>
      <c r="X47" s="18">
        <v>1.2035398230088497</v>
      </c>
      <c r="Y47" s="18">
        <v>0.90316732528589561</v>
      </c>
      <c r="Z47" s="18"/>
      <c r="AA47" s="18"/>
      <c r="AB47" s="75"/>
    </row>
    <row r="48" spans="1:28">
      <c r="A48" s="6" t="str">
        <f>VLOOKUP(D48,[2]Service!$B$15:$H$114,7,FALSE)</f>
        <v>MM Auto</v>
      </c>
      <c r="B48" s="103" t="str">
        <f t="shared" si="0"/>
        <v>MM Auto Sales Pvt Ltd.2958</v>
      </c>
      <c r="C48" s="103" t="s">
        <v>31</v>
      </c>
      <c r="D48" s="5">
        <v>10393</v>
      </c>
      <c r="E48" s="5">
        <v>2958</v>
      </c>
      <c r="F48" s="3" t="s">
        <v>196</v>
      </c>
      <c r="G48" s="3" t="s">
        <v>258</v>
      </c>
      <c r="H48" s="3" t="str">
        <f>VLOOKUP($D48,[3]Service!$B$4:$F$99,5,FALSE)</f>
        <v>Gorakhpur</v>
      </c>
      <c r="I48" s="3" t="s">
        <v>460</v>
      </c>
      <c r="J48" s="9">
        <v>100</v>
      </c>
      <c r="K48" s="9">
        <v>50</v>
      </c>
      <c r="L48" s="9">
        <v>0</v>
      </c>
      <c r="M48" s="9">
        <v>0</v>
      </c>
      <c r="N48" s="9">
        <v>75</v>
      </c>
      <c r="O48" s="9">
        <v>100</v>
      </c>
      <c r="P48" s="9">
        <f t="shared" si="1"/>
        <v>0</v>
      </c>
      <c r="Q48" s="18">
        <v>1</v>
      </c>
      <c r="R48" s="116">
        <v>4.8</v>
      </c>
      <c r="S48" s="19" t="str">
        <f t="shared" si="2"/>
        <v>10393 (100%)</v>
      </c>
      <c r="T48" s="9">
        <f t="shared" si="3"/>
        <v>0</v>
      </c>
      <c r="U48" s="9" t="s">
        <v>1043</v>
      </c>
      <c r="V48" s="9" t="s">
        <v>1044</v>
      </c>
      <c r="W48" s="9" t="s">
        <v>1040</v>
      </c>
      <c r="X48" s="18">
        <v>0.75609756097560976</v>
      </c>
      <c r="Y48" s="18">
        <v>0.87253902970297015</v>
      </c>
      <c r="Z48" s="18"/>
      <c r="AA48" s="18"/>
      <c r="AB48" s="75"/>
    </row>
    <row r="49" spans="1:28">
      <c r="A49" s="6" t="str">
        <f>VLOOKUP(D49,[2]Service!$B$15:$H$114,7,FALSE)</f>
        <v>MODY_MH</v>
      </c>
      <c r="B49" s="103" t="str">
        <f t="shared" si="0"/>
        <v>Mody India Cars Pvt Ltd_MH2515</v>
      </c>
      <c r="C49" s="103" t="s">
        <v>60</v>
      </c>
      <c r="D49" s="5">
        <v>20344</v>
      </c>
      <c r="E49" s="5">
        <v>2515</v>
      </c>
      <c r="F49" s="3" t="s">
        <v>196</v>
      </c>
      <c r="G49" s="3" t="s">
        <v>260</v>
      </c>
      <c r="H49" s="3" t="str">
        <f>VLOOKUP($D49,[3]Service!$B$4:$F$99,5,FALSE)</f>
        <v>Mumbai</v>
      </c>
      <c r="I49" s="3" t="s">
        <v>460</v>
      </c>
      <c r="J49" s="9">
        <v>80</v>
      </c>
      <c r="K49" s="9">
        <v>50</v>
      </c>
      <c r="L49" s="9">
        <v>80</v>
      </c>
      <c r="M49" s="9">
        <v>75</v>
      </c>
      <c r="N49" s="9">
        <v>75</v>
      </c>
      <c r="O49" s="9">
        <v>100</v>
      </c>
      <c r="P49" s="9">
        <f t="shared" si="1"/>
        <v>460</v>
      </c>
      <c r="Q49" s="18">
        <v>0.35433070866141736</v>
      </c>
      <c r="R49" s="116">
        <v>4.9000000000000004</v>
      </c>
      <c r="S49" s="19" t="str">
        <f t="shared" si="2"/>
        <v>20344 (35%)</v>
      </c>
      <c r="T49" s="9">
        <f t="shared" si="3"/>
        <v>163</v>
      </c>
      <c r="U49" s="9" t="s">
        <v>1043</v>
      </c>
      <c r="V49" s="9" t="s">
        <v>1045</v>
      </c>
      <c r="W49" s="9" t="s">
        <v>1042</v>
      </c>
      <c r="X49" s="18" t="s">
        <v>1066</v>
      </c>
      <c r="Y49" s="18">
        <v>1.0094709439555354</v>
      </c>
      <c r="Z49" s="18"/>
      <c r="AA49" s="18"/>
      <c r="AB49" s="75"/>
    </row>
    <row r="50" spans="1:28">
      <c r="A50" s="6" t="str">
        <f>VLOOKUP(D50,[2]Service!$B$15:$H$114,7,FALSE)</f>
        <v>MODY_MH</v>
      </c>
      <c r="B50" s="103" t="str">
        <f t="shared" si="0"/>
        <v>Mody India Cars Pvt Ltd_MH2515</v>
      </c>
      <c r="C50" s="103" t="s">
        <v>60</v>
      </c>
      <c r="D50" s="5">
        <v>20345</v>
      </c>
      <c r="E50" s="5">
        <v>2515</v>
      </c>
      <c r="F50" s="3" t="s">
        <v>196</v>
      </c>
      <c r="G50" s="3" t="s">
        <v>262</v>
      </c>
      <c r="H50" s="3" t="str">
        <f>VLOOKUP($D50,[3]Service!$B$4:$F$99,5,FALSE)</f>
        <v>Mumbai</v>
      </c>
      <c r="I50" s="3" t="s">
        <v>467</v>
      </c>
      <c r="J50" s="9">
        <v>100</v>
      </c>
      <c r="K50" s="9">
        <v>40</v>
      </c>
      <c r="L50" s="9">
        <v>80</v>
      </c>
      <c r="M50" s="9">
        <v>75</v>
      </c>
      <c r="N50" s="9">
        <v>0</v>
      </c>
      <c r="O50" s="9">
        <v>80</v>
      </c>
      <c r="P50" s="9">
        <f t="shared" si="1"/>
        <v>375</v>
      </c>
      <c r="Q50" s="18">
        <v>0.46780917091245944</v>
      </c>
      <c r="R50" s="116">
        <v>4.8</v>
      </c>
      <c r="S50" s="19" t="str">
        <f t="shared" si="2"/>
        <v>20345 (47%)</v>
      </c>
      <c r="T50" s="9">
        <f t="shared" si="3"/>
        <v>175</v>
      </c>
      <c r="U50" s="9" t="s">
        <v>1043</v>
      </c>
      <c r="V50" s="9" t="s">
        <v>1044</v>
      </c>
      <c r="W50" s="9" t="s">
        <v>1041</v>
      </c>
      <c r="X50" s="18">
        <v>1.4554455445544554</v>
      </c>
      <c r="Y50" s="18">
        <v>1.0094709439555354</v>
      </c>
      <c r="Z50" s="18"/>
      <c r="AA50" s="18"/>
      <c r="AB50" s="75"/>
    </row>
    <row r="51" spans="1:28">
      <c r="A51" s="6" t="str">
        <f>VLOOKUP(D51,[2]Service!$B$15:$H$114,7,FALSE)</f>
        <v>MODY_MH</v>
      </c>
      <c r="B51" s="103" t="str">
        <f t="shared" si="0"/>
        <v>Mody India Cars Pvt Ltd_MH2515</v>
      </c>
      <c r="C51" s="103" t="s">
        <v>60</v>
      </c>
      <c r="D51" s="5">
        <v>20357</v>
      </c>
      <c r="E51" s="5">
        <v>2515</v>
      </c>
      <c r="F51" s="3" t="s">
        <v>196</v>
      </c>
      <c r="G51" s="3" t="s">
        <v>264</v>
      </c>
      <c r="H51" s="3" t="str">
        <f>VLOOKUP($D51,[3]Service!$B$4:$F$99,5,FALSE)</f>
        <v>Mumbai</v>
      </c>
      <c r="I51" s="3" t="s">
        <v>467</v>
      </c>
      <c r="J51" s="9">
        <v>80</v>
      </c>
      <c r="K51" s="9">
        <v>50</v>
      </c>
      <c r="L51" s="9">
        <v>80</v>
      </c>
      <c r="M51" s="9">
        <v>75</v>
      </c>
      <c r="N51" s="9">
        <v>60</v>
      </c>
      <c r="O51" s="9">
        <v>100</v>
      </c>
      <c r="P51" s="9">
        <f t="shared" si="1"/>
        <v>445</v>
      </c>
      <c r="Q51" s="18">
        <v>0.1778601204261232</v>
      </c>
      <c r="R51" s="116">
        <v>4.9000000000000004</v>
      </c>
      <c r="S51" s="19" t="str">
        <f t="shared" si="2"/>
        <v>20357 (18%)</v>
      </c>
      <c r="T51" s="9">
        <f t="shared" si="3"/>
        <v>79</v>
      </c>
      <c r="U51" s="9" t="s">
        <v>1043</v>
      </c>
      <c r="V51" s="9" t="s">
        <v>1044</v>
      </c>
      <c r="W51" s="9" t="s">
        <v>1041</v>
      </c>
      <c r="X51" s="18">
        <v>1.4554455445544554</v>
      </c>
      <c r="Y51" s="18">
        <v>1.0094709439555354</v>
      </c>
      <c r="Z51" s="18"/>
      <c r="AA51" s="18"/>
      <c r="AB51" s="75"/>
    </row>
    <row r="52" spans="1:28">
      <c r="A52" s="6" t="str">
        <f>VLOOKUP(D52,[2]Service!$B$15:$H$114,7,FALSE)</f>
        <v>MODY_TL</v>
      </c>
      <c r="B52" s="103" t="str">
        <f t="shared" si="0"/>
        <v>Mody India Cars Pvt Ltd_TL3117</v>
      </c>
      <c r="C52" s="103" t="s">
        <v>61</v>
      </c>
      <c r="D52" s="5">
        <v>20368</v>
      </c>
      <c r="E52" s="5">
        <v>3117</v>
      </c>
      <c r="F52" s="3" t="s">
        <v>196</v>
      </c>
      <c r="G52" s="3" t="s">
        <v>266</v>
      </c>
      <c r="H52" s="3" t="str">
        <f>VLOOKUP($D52,[3]Service!$B$4:$F$99,5,FALSE)</f>
        <v>Hyderabad</v>
      </c>
      <c r="I52" s="3" t="s">
        <v>467</v>
      </c>
      <c r="J52" s="9">
        <v>80</v>
      </c>
      <c r="K52" s="9">
        <v>0</v>
      </c>
      <c r="L52" s="9">
        <v>0</v>
      </c>
      <c r="M52" s="9">
        <v>75</v>
      </c>
      <c r="N52" s="9">
        <v>0</v>
      </c>
      <c r="O52" s="9">
        <v>80</v>
      </c>
      <c r="P52" s="9">
        <f t="shared" si="1"/>
        <v>235</v>
      </c>
      <c r="Q52" s="18">
        <v>1</v>
      </c>
      <c r="R52" s="116">
        <v>4.8</v>
      </c>
      <c r="S52" s="19" t="str">
        <f t="shared" si="2"/>
        <v>20368 (100%)</v>
      </c>
      <c r="T52" s="9">
        <f t="shared" si="3"/>
        <v>235</v>
      </c>
      <c r="U52" s="9" t="s">
        <v>1043</v>
      </c>
      <c r="V52" s="9" t="s">
        <v>1044</v>
      </c>
      <c r="W52" s="9" t="s">
        <v>1041</v>
      </c>
      <c r="X52" s="18">
        <v>1.1604938271604939</v>
      </c>
      <c r="Y52" s="18">
        <v>1.1426878872549024</v>
      </c>
      <c r="Z52" s="18"/>
      <c r="AA52" s="18"/>
      <c r="AB52" s="75"/>
    </row>
    <row r="53" spans="1:28">
      <c r="A53" s="6" t="str">
        <f>VLOOKUP(D53,[2]Service!$B$15:$H$114,7,FALSE)</f>
        <v>MOHARIR</v>
      </c>
      <c r="B53" s="103" t="str">
        <f t="shared" si="0"/>
        <v>Moharir Motors Pvt. Ltd1367</v>
      </c>
      <c r="C53" s="103" t="s">
        <v>32</v>
      </c>
      <c r="D53" s="5">
        <v>10370</v>
      </c>
      <c r="E53" s="5">
        <v>1367</v>
      </c>
      <c r="F53" s="3" t="s">
        <v>196</v>
      </c>
      <c r="G53" s="3" t="s">
        <v>267</v>
      </c>
      <c r="H53" s="3" t="str">
        <f>VLOOKUP($D53,[3]Service!$B$4:$F$99,5,FALSE)</f>
        <v>Nasik</v>
      </c>
      <c r="I53" s="3" t="s">
        <v>467</v>
      </c>
      <c r="J53" s="9">
        <v>0</v>
      </c>
      <c r="K53" s="9">
        <v>0</v>
      </c>
      <c r="L53" s="9">
        <v>0</v>
      </c>
      <c r="M53" s="9">
        <v>0</v>
      </c>
      <c r="N53" s="9">
        <v>0</v>
      </c>
      <c r="O53" s="9">
        <v>0</v>
      </c>
      <c r="P53" s="9">
        <f t="shared" si="1"/>
        <v>0</v>
      </c>
      <c r="Q53" s="18">
        <v>0</v>
      </c>
      <c r="R53" s="116">
        <v>0</v>
      </c>
      <c r="S53" s="19" t="str">
        <f t="shared" si="2"/>
        <v>10370 (0%)</v>
      </c>
      <c r="T53" s="9">
        <f t="shared" si="3"/>
        <v>0</v>
      </c>
      <c r="U53" s="9" t="s">
        <v>1043</v>
      </c>
      <c r="V53" s="9" t="s">
        <v>1044</v>
      </c>
      <c r="W53" s="9"/>
      <c r="X53" s="18"/>
      <c r="Y53" s="18"/>
      <c r="Z53" s="18"/>
      <c r="AA53" s="18"/>
      <c r="AB53" s="75"/>
    </row>
    <row r="54" spans="1:28">
      <c r="A54" s="6" t="str">
        <f>VLOOKUP(D54,[2]Service!$B$15:$H$114,7,FALSE)</f>
        <v>Pal Prateek</v>
      </c>
      <c r="B54" s="103" t="str">
        <f t="shared" si="0"/>
        <v>Pal Prateek Automobile LLP1595</v>
      </c>
      <c r="C54" s="103" t="s">
        <v>33</v>
      </c>
      <c r="D54" s="5">
        <v>10387</v>
      </c>
      <c r="E54" s="5">
        <v>1595</v>
      </c>
      <c r="F54" s="3" t="s">
        <v>196</v>
      </c>
      <c r="G54" s="3" t="s">
        <v>268</v>
      </c>
      <c r="H54" s="3" t="str">
        <f>VLOOKUP($D54,[3]Service!$B$4:$F$99,5,FALSE)</f>
        <v>Haldwani</v>
      </c>
      <c r="I54" s="3" t="s">
        <v>467</v>
      </c>
      <c r="J54" s="9">
        <v>100</v>
      </c>
      <c r="K54" s="9">
        <v>50</v>
      </c>
      <c r="L54" s="9">
        <v>100</v>
      </c>
      <c r="M54" s="9">
        <v>75</v>
      </c>
      <c r="N54" s="9">
        <v>75</v>
      </c>
      <c r="O54" s="9">
        <v>100</v>
      </c>
      <c r="P54" s="9">
        <f t="shared" si="1"/>
        <v>500</v>
      </c>
      <c r="Q54" s="18">
        <v>1</v>
      </c>
      <c r="R54" s="116">
        <v>5</v>
      </c>
      <c r="S54" s="19" t="str">
        <f t="shared" si="2"/>
        <v>10387 (100%)</v>
      </c>
      <c r="T54" s="9">
        <f t="shared" si="3"/>
        <v>500</v>
      </c>
      <c r="U54" s="9" t="s">
        <v>1043</v>
      </c>
      <c r="V54" s="9" t="s">
        <v>1044</v>
      </c>
      <c r="W54" s="9" t="s">
        <v>1040</v>
      </c>
      <c r="X54" s="18">
        <v>1.2307692307692308</v>
      </c>
      <c r="Y54" s="18">
        <v>0.92377664900662093</v>
      </c>
      <c r="Z54" s="18"/>
      <c r="AA54" s="18"/>
      <c r="AB54" s="75"/>
    </row>
    <row r="55" spans="1:28">
      <c r="A55" s="6" t="str">
        <f>VLOOKUP(D55,[2]Service!$B$15:$H$114,7,FALSE)</f>
        <v>Patni</v>
      </c>
      <c r="B55" s="103" t="str">
        <f t="shared" si="0"/>
        <v>Patni Autoventures LLP2100</v>
      </c>
      <c r="C55" s="103" t="s">
        <v>34</v>
      </c>
      <c r="D55" s="5">
        <v>20378</v>
      </c>
      <c r="E55" s="5">
        <v>2100</v>
      </c>
      <c r="F55" s="3" t="s">
        <v>196</v>
      </c>
      <c r="G55" s="3" t="s">
        <v>269</v>
      </c>
      <c r="H55" s="3" t="str">
        <f>VLOOKUP($D55,[3]Service!$B$4:$F$99,5,FALSE)</f>
        <v>Nagpur</v>
      </c>
      <c r="I55" s="3" t="s">
        <v>467</v>
      </c>
      <c r="J55" s="9">
        <v>80</v>
      </c>
      <c r="K55" s="9">
        <v>40</v>
      </c>
      <c r="L55" s="9">
        <v>0</v>
      </c>
      <c r="M55" s="9">
        <v>0</v>
      </c>
      <c r="N55" s="9">
        <v>75</v>
      </c>
      <c r="O55" s="9">
        <v>80</v>
      </c>
      <c r="P55" s="9">
        <f t="shared" si="1"/>
        <v>275</v>
      </c>
      <c r="Q55" s="18">
        <v>1</v>
      </c>
      <c r="R55" s="116">
        <v>4.9000000000000004</v>
      </c>
      <c r="S55" s="19" t="str">
        <f t="shared" si="2"/>
        <v>20378 (100%)</v>
      </c>
      <c r="T55" s="9">
        <f t="shared" si="3"/>
        <v>275</v>
      </c>
      <c r="U55" s="9" t="s">
        <v>1043</v>
      </c>
      <c r="V55" s="9" t="s">
        <v>1044</v>
      </c>
      <c r="W55" s="9" t="s">
        <v>1041</v>
      </c>
      <c r="X55" s="18">
        <v>1.1584158415841583</v>
      </c>
      <c r="Y55" s="18">
        <v>1.0981531626213601</v>
      </c>
      <c r="Z55" s="18"/>
      <c r="AA55" s="18"/>
      <c r="AB55" s="75"/>
    </row>
    <row r="56" spans="1:28">
      <c r="A56" s="6" t="str">
        <f>VLOOKUP(D56,[2]Service!$B$15:$H$114,7,FALSE)</f>
        <v>PPS_AP</v>
      </c>
      <c r="B56" s="103" t="str">
        <f t="shared" si="0"/>
        <v>PPS Motors Pvt Ltd_AP1582</v>
      </c>
      <c r="C56" s="103" t="s">
        <v>62</v>
      </c>
      <c r="D56" s="5">
        <v>20371</v>
      </c>
      <c r="E56" s="5">
        <v>1582</v>
      </c>
      <c r="F56" s="3" t="s">
        <v>196</v>
      </c>
      <c r="G56" s="3" t="s">
        <v>270</v>
      </c>
      <c r="H56" s="3" t="str">
        <f>VLOOKUP($D56,[3]Service!$B$4:$F$99,5,FALSE)</f>
        <v>Tirupati</v>
      </c>
      <c r="I56" s="3" t="s">
        <v>467</v>
      </c>
      <c r="J56" s="9">
        <v>100</v>
      </c>
      <c r="K56" s="9">
        <v>50</v>
      </c>
      <c r="L56" s="9">
        <v>0</v>
      </c>
      <c r="M56" s="9">
        <v>0</v>
      </c>
      <c r="N56" s="9">
        <v>0</v>
      </c>
      <c r="O56" s="9">
        <v>80</v>
      </c>
      <c r="P56" s="9">
        <f t="shared" si="1"/>
        <v>230</v>
      </c>
      <c r="Q56" s="18">
        <v>1</v>
      </c>
      <c r="R56" s="116">
        <v>4.7</v>
      </c>
      <c r="S56" s="19" t="str">
        <f t="shared" si="2"/>
        <v>20371 (100%)</v>
      </c>
      <c r="T56" s="9">
        <f t="shared" si="3"/>
        <v>230</v>
      </c>
      <c r="U56" s="9" t="s">
        <v>1043</v>
      </c>
      <c r="V56" s="9" t="s">
        <v>1044</v>
      </c>
      <c r="W56" s="9" t="s">
        <v>1041</v>
      </c>
      <c r="X56" s="18">
        <v>2.0384615384615383</v>
      </c>
      <c r="Y56" s="18">
        <v>1.054599298013245</v>
      </c>
      <c r="Z56" s="18"/>
      <c r="AA56" s="18"/>
      <c r="AB56" s="75"/>
    </row>
    <row r="57" spans="1:28">
      <c r="A57" s="6" t="str">
        <f>VLOOKUP(D57,[2]Service!$B$15:$H$114,7,FALSE)</f>
        <v>PPS_KA</v>
      </c>
      <c r="B57" s="103" t="str">
        <f t="shared" si="0"/>
        <v>PPS Motors Pvt Ltd_KA1690</v>
      </c>
      <c r="C57" s="103" t="s">
        <v>63</v>
      </c>
      <c r="D57" s="5">
        <v>20339</v>
      </c>
      <c r="E57" s="5">
        <v>1690</v>
      </c>
      <c r="F57" s="3" t="s">
        <v>196</v>
      </c>
      <c r="G57" s="3" t="s">
        <v>272</v>
      </c>
      <c r="H57" s="3" t="str">
        <f>VLOOKUP($D57,[3]Service!$B$4:$F$99,5,FALSE)</f>
        <v>Bengaluru</v>
      </c>
      <c r="I57" s="3" t="s">
        <v>467</v>
      </c>
      <c r="J57" s="9">
        <v>80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  <c r="P57" s="9">
        <f t="shared" si="1"/>
        <v>80</v>
      </c>
      <c r="Q57" s="18">
        <v>0.55909090909090908</v>
      </c>
      <c r="R57" s="116">
        <v>4.8</v>
      </c>
      <c r="S57" s="19" t="str">
        <f t="shared" si="2"/>
        <v>20339 (56%)</v>
      </c>
      <c r="T57" s="9">
        <f t="shared" si="3"/>
        <v>45</v>
      </c>
      <c r="U57" s="9" t="s">
        <v>1043</v>
      </c>
      <c r="V57" s="9" t="s">
        <v>1044</v>
      </c>
      <c r="W57" s="9" t="s">
        <v>1041</v>
      </c>
      <c r="X57" s="18">
        <v>1.1611374407582939</v>
      </c>
      <c r="Y57" s="18">
        <v>0.97602602922077963</v>
      </c>
      <c r="Z57" s="18"/>
      <c r="AA57" s="18"/>
      <c r="AB57" s="75"/>
    </row>
    <row r="58" spans="1:28">
      <c r="A58" s="6" t="str">
        <f>VLOOKUP(D58,[2]Service!$B$15:$H$114,7,FALSE)</f>
        <v>PPS_KA</v>
      </c>
      <c r="B58" s="103" t="str">
        <f t="shared" si="0"/>
        <v>PPS Motors Pvt Ltd_KA1690</v>
      </c>
      <c r="C58" s="103" t="s">
        <v>63</v>
      </c>
      <c r="D58" s="5">
        <v>20347</v>
      </c>
      <c r="E58" s="5">
        <v>1690</v>
      </c>
      <c r="F58" s="3" t="s">
        <v>197</v>
      </c>
      <c r="G58" s="3" t="s">
        <v>273</v>
      </c>
      <c r="H58" s="3" t="str">
        <f>VLOOKUP($D58,[3]Service!$B$4:$F$99,5,FALSE)</f>
        <v>Bengaluru</v>
      </c>
      <c r="I58" s="3" t="s">
        <v>465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  <c r="P58" s="9">
        <f t="shared" si="1"/>
        <v>0</v>
      </c>
      <c r="Q58" s="18">
        <v>0.44090909090909097</v>
      </c>
      <c r="R58" s="116">
        <v>4.7</v>
      </c>
      <c r="S58" s="19" t="str">
        <f t="shared" si="2"/>
        <v>20347 (44%)</v>
      </c>
      <c r="T58" s="9">
        <f t="shared" si="3"/>
        <v>0</v>
      </c>
      <c r="U58" s="9" t="s">
        <v>1043</v>
      </c>
      <c r="V58" s="9" t="s">
        <v>1044</v>
      </c>
      <c r="W58" s="9" t="s">
        <v>1041</v>
      </c>
      <c r="X58" s="18">
        <v>1.1611374407582939</v>
      </c>
      <c r="Y58" s="18">
        <v>0.97602602922077963</v>
      </c>
      <c r="Z58" s="18"/>
      <c r="AA58" s="18"/>
      <c r="AB58" s="75"/>
    </row>
    <row r="59" spans="1:28">
      <c r="A59" s="6" t="str">
        <f>VLOOKUP(D59,[2]Service!$B$15:$H$114,7,FALSE)</f>
        <v>PPS_Kerala</v>
      </c>
      <c r="B59" s="103" t="str">
        <f t="shared" si="0"/>
        <v>PPS Motors Pvt Ltd_Kerala3027</v>
      </c>
      <c r="C59" s="103" t="s">
        <v>64</v>
      </c>
      <c r="D59" s="5">
        <v>20381</v>
      </c>
      <c r="E59" s="5">
        <v>3027</v>
      </c>
      <c r="F59" s="3" t="s">
        <v>197</v>
      </c>
      <c r="G59" s="3" t="s">
        <v>275</v>
      </c>
      <c r="H59" s="3" t="str">
        <f>VLOOKUP($D59,[3]Service!$B$4:$F$99,5,FALSE)</f>
        <v>Thiruvananthapuram</v>
      </c>
      <c r="I59" s="3" t="s">
        <v>465</v>
      </c>
      <c r="J59" s="9">
        <v>80</v>
      </c>
      <c r="K59" s="9">
        <v>0</v>
      </c>
      <c r="L59" s="9">
        <v>0</v>
      </c>
      <c r="M59" s="9">
        <v>60</v>
      </c>
      <c r="N59" s="9">
        <v>0</v>
      </c>
      <c r="O59" s="9">
        <v>0</v>
      </c>
      <c r="P59" s="9">
        <f t="shared" si="1"/>
        <v>0</v>
      </c>
      <c r="Q59" s="18">
        <v>0.88307692307692309</v>
      </c>
      <c r="R59" s="116">
        <v>4.7</v>
      </c>
      <c r="S59" s="19" t="str">
        <f t="shared" si="2"/>
        <v>20381 (88%)</v>
      </c>
      <c r="T59" s="9">
        <f t="shared" si="3"/>
        <v>0</v>
      </c>
      <c r="U59" s="9" t="s">
        <v>1043</v>
      </c>
      <c r="V59" s="9" t="s">
        <v>1044</v>
      </c>
      <c r="W59" s="9" t="s">
        <v>1041</v>
      </c>
      <c r="X59" s="18">
        <v>1.2058823529411764</v>
      </c>
      <c r="Y59" s="18">
        <v>0.71795466769230731</v>
      </c>
      <c r="Z59" s="18"/>
      <c r="AA59" s="18"/>
      <c r="AB59" s="75"/>
    </row>
    <row r="60" spans="1:28">
      <c r="A60" s="6" t="str">
        <f>VLOOKUP(D60,[2]Service!$B$15:$H$114,7,FALSE)</f>
        <v>PPS_Kerala</v>
      </c>
      <c r="B60" s="103" t="str">
        <f t="shared" si="0"/>
        <v>PPS Motors Pvt Ltd_Kerala3027</v>
      </c>
      <c r="C60" s="103" t="s">
        <v>64</v>
      </c>
      <c r="D60" s="5">
        <v>10382</v>
      </c>
      <c r="E60" s="5">
        <v>3027</v>
      </c>
      <c r="F60" s="3" t="s">
        <v>197</v>
      </c>
      <c r="G60" s="3" t="s">
        <v>277</v>
      </c>
      <c r="H60" s="3" t="str">
        <f>VLOOKUP($D60,[3]Service!$B$4:$F$99,5,FALSE)</f>
        <v>Kollam</v>
      </c>
      <c r="I60" s="3" t="s">
        <v>465</v>
      </c>
      <c r="J60" s="9">
        <v>0</v>
      </c>
      <c r="K60" s="9">
        <v>50</v>
      </c>
      <c r="L60" s="9">
        <v>0</v>
      </c>
      <c r="M60" s="9">
        <v>75</v>
      </c>
      <c r="N60" s="9">
        <v>0</v>
      </c>
      <c r="O60" s="9">
        <v>80</v>
      </c>
      <c r="P60" s="9">
        <f t="shared" si="1"/>
        <v>0</v>
      </c>
      <c r="Q60" s="18">
        <v>0.11692307692307692</v>
      </c>
      <c r="R60" s="116">
        <v>4.7</v>
      </c>
      <c r="S60" s="19" t="str">
        <f t="shared" si="2"/>
        <v>10382 (12%)</v>
      </c>
      <c r="T60" s="9">
        <f t="shared" si="3"/>
        <v>0</v>
      </c>
      <c r="U60" s="9" t="s">
        <v>1043</v>
      </c>
      <c r="V60" s="9" t="s">
        <v>1044</v>
      </c>
      <c r="W60" s="9" t="s">
        <v>1040</v>
      </c>
      <c r="X60" s="18">
        <v>1.2058823529411764</v>
      </c>
      <c r="Y60" s="18">
        <v>0.71795466769230731</v>
      </c>
      <c r="Z60" s="18"/>
      <c r="AA60" s="18"/>
      <c r="AB60" s="75"/>
    </row>
    <row r="61" spans="1:28">
      <c r="A61" s="6" t="str">
        <f>VLOOKUP(D61,[2]Service!$B$15:$H$114,7,FALSE)</f>
        <v>PPS_TL</v>
      </c>
      <c r="B61" s="103" t="str">
        <f t="shared" si="0"/>
        <v>PPS Motors Pvt Ltd_TL3654</v>
      </c>
      <c r="C61" s="103" t="s">
        <v>65</v>
      </c>
      <c r="D61" s="5">
        <v>20350</v>
      </c>
      <c r="E61" s="5">
        <v>3654</v>
      </c>
      <c r="F61" s="3" t="s">
        <v>197</v>
      </c>
      <c r="G61" s="3" t="s">
        <v>279</v>
      </c>
      <c r="H61" s="3" t="str">
        <f>VLOOKUP($D61,[3]Service!$B$4:$F$99,5,FALSE)</f>
        <v>Hyderabad</v>
      </c>
      <c r="I61" s="3" t="s">
        <v>465</v>
      </c>
      <c r="J61" s="9">
        <v>100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f t="shared" si="1"/>
        <v>0</v>
      </c>
      <c r="Q61" s="18">
        <v>0.80799999999999994</v>
      </c>
      <c r="R61" s="116">
        <v>4.5999999999999996</v>
      </c>
      <c r="S61" s="19" t="str">
        <f t="shared" si="2"/>
        <v>20350 (81%)</v>
      </c>
      <c r="T61" s="9">
        <f t="shared" si="3"/>
        <v>0</v>
      </c>
      <c r="U61" s="9" t="s">
        <v>1043</v>
      </c>
      <c r="V61" s="9" t="s">
        <v>1044</v>
      </c>
      <c r="W61" s="9" t="s">
        <v>1041</v>
      </c>
      <c r="X61" s="18">
        <v>1.1888111888111887</v>
      </c>
      <c r="Y61" s="18">
        <v>1.3240997902713334</v>
      </c>
      <c r="Z61" s="18"/>
      <c r="AA61" s="18"/>
      <c r="AB61" s="75"/>
    </row>
    <row r="62" spans="1:28">
      <c r="A62" s="6" t="str">
        <f>VLOOKUP(D62,[2]Service!$B$15:$H$114,7,FALSE)</f>
        <v>PREM</v>
      </c>
      <c r="B62" s="103" t="str">
        <f t="shared" si="0"/>
        <v>Prem Garages Pvt. Ltd2861</v>
      </c>
      <c r="C62" s="103" t="s">
        <v>35</v>
      </c>
      <c r="D62" s="5">
        <v>10336</v>
      </c>
      <c r="E62" s="5">
        <v>2861</v>
      </c>
      <c r="F62" s="3" t="s">
        <v>197</v>
      </c>
      <c r="G62" s="3" t="s">
        <v>280</v>
      </c>
      <c r="H62" s="3" t="str">
        <f>VLOOKUP($D62,[3]Service!$B$4:$F$99,5,FALSE)</f>
        <v>Agra</v>
      </c>
      <c r="I62" s="3" t="s">
        <v>459</v>
      </c>
      <c r="J62" s="9">
        <v>80</v>
      </c>
      <c r="K62" s="9">
        <v>50</v>
      </c>
      <c r="L62" s="9">
        <v>0</v>
      </c>
      <c r="M62" s="9">
        <v>0</v>
      </c>
      <c r="N62" s="9">
        <v>0</v>
      </c>
      <c r="O62" s="9">
        <v>80</v>
      </c>
      <c r="P62" s="9">
        <f t="shared" si="1"/>
        <v>210</v>
      </c>
      <c r="Q62" s="18">
        <v>1</v>
      </c>
      <c r="R62" s="116">
        <v>4.7</v>
      </c>
      <c r="S62" s="19" t="str">
        <f t="shared" si="2"/>
        <v>10336 (100%)</v>
      </c>
      <c r="T62" s="9">
        <f t="shared" si="3"/>
        <v>210</v>
      </c>
      <c r="U62" s="9" t="s">
        <v>1043</v>
      </c>
      <c r="V62" s="9" t="s">
        <v>1044</v>
      </c>
      <c r="W62" s="9" t="s">
        <v>1040</v>
      </c>
      <c r="X62" s="18">
        <v>0.97435897435897434</v>
      </c>
      <c r="Y62" s="18">
        <v>1.5884073440366977</v>
      </c>
      <c r="Z62" s="18"/>
      <c r="AA62" s="18"/>
      <c r="AB62" s="75"/>
    </row>
    <row r="63" spans="1:28">
      <c r="A63" s="6" t="str">
        <f>VLOOKUP(D63,[2]Service!$B$15:$H$114,7,FALSE)</f>
        <v>PRESIDENCY</v>
      </c>
      <c r="B63" s="103" t="str">
        <f t="shared" si="0"/>
        <v>Presidency Cars Pvt. Ltd.2105</v>
      </c>
      <c r="C63" s="103" t="s">
        <v>36</v>
      </c>
      <c r="D63" s="5">
        <v>10349</v>
      </c>
      <c r="E63" s="5">
        <v>2105</v>
      </c>
      <c r="F63" s="3" t="s">
        <v>197</v>
      </c>
      <c r="G63" s="3" t="s">
        <v>282</v>
      </c>
      <c r="H63" s="3" t="str">
        <f>VLOOKUP($D63,[3]Service!$B$4:$F$99,5,FALSE)</f>
        <v>Surat</v>
      </c>
      <c r="I63" s="3" t="s">
        <v>459</v>
      </c>
      <c r="J63" s="9">
        <v>80</v>
      </c>
      <c r="K63" s="9">
        <v>40</v>
      </c>
      <c r="L63" s="9">
        <v>100</v>
      </c>
      <c r="M63" s="9">
        <v>75</v>
      </c>
      <c r="N63" s="9">
        <v>75</v>
      </c>
      <c r="O63" s="9">
        <v>80</v>
      </c>
      <c r="P63" s="9">
        <f t="shared" si="1"/>
        <v>0</v>
      </c>
      <c r="Q63" s="18">
        <v>1</v>
      </c>
      <c r="R63" s="116">
        <v>4.8</v>
      </c>
      <c r="S63" s="19" t="str">
        <f t="shared" si="2"/>
        <v>10349 (100%)</v>
      </c>
      <c r="T63" s="9">
        <f t="shared" si="3"/>
        <v>0</v>
      </c>
      <c r="U63" s="9" t="s">
        <v>1043</v>
      </c>
      <c r="V63" s="9" t="s">
        <v>1044</v>
      </c>
      <c r="W63" s="9" t="s">
        <v>1040</v>
      </c>
      <c r="X63" s="18">
        <v>1.3043478260869565</v>
      </c>
      <c r="Y63" s="18">
        <v>0.7368295107494558</v>
      </c>
      <c r="Z63" s="18"/>
      <c r="AA63" s="18"/>
      <c r="AB63" s="75"/>
    </row>
    <row r="64" spans="1:28">
      <c r="A64" s="6" t="str">
        <f>VLOOKUP(D64,[2]Service!$B$15:$H$114,7,FALSE)</f>
        <v>RAJA GANESH</v>
      </c>
      <c r="B64" s="103" t="str">
        <f t="shared" ref="B64:B106" si="4">_xlfn.CONCAT(C64,E64)</f>
        <v>Raja Ganesh Motors2044</v>
      </c>
      <c r="C64" s="103" t="s">
        <v>37</v>
      </c>
      <c r="D64" s="5">
        <v>20351</v>
      </c>
      <c r="E64" s="5">
        <v>2044</v>
      </c>
      <c r="F64" s="3" t="s">
        <v>197</v>
      </c>
      <c r="G64" s="3" t="s">
        <v>283</v>
      </c>
      <c r="H64" s="3" t="str">
        <f>VLOOKUP($D64,[3]Service!$B$4:$F$99,5,FALSE)</f>
        <v>Bengaluru</v>
      </c>
      <c r="I64" s="3" t="s">
        <v>459</v>
      </c>
      <c r="J64" s="9">
        <v>80</v>
      </c>
      <c r="K64" s="9">
        <v>0</v>
      </c>
      <c r="L64" s="9">
        <v>100</v>
      </c>
      <c r="M64" s="9">
        <v>0</v>
      </c>
      <c r="N64" s="9">
        <v>0</v>
      </c>
      <c r="O64" s="9">
        <v>0</v>
      </c>
      <c r="P64" s="9">
        <f t="shared" si="1"/>
        <v>0</v>
      </c>
      <c r="Q64" s="18">
        <v>1</v>
      </c>
      <c r="R64" s="116">
        <v>4.5</v>
      </c>
      <c r="S64" s="19" t="str">
        <f t="shared" ref="S64:S103" si="5">_xlfn.CONCAT(D64," (",TEXT(Q64,"0%"),")")</f>
        <v>20351 (100%)</v>
      </c>
      <c r="T64" s="9">
        <f t="shared" si="3"/>
        <v>0</v>
      </c>
      <c r="U64" s="9" t="s">
        <v>1043</v>
      </c>
      <c r="V64" s="9" t="s">
        <v>1044</v>
      </c>
      <c r="W64" s="9" t="s">
        <v>1041</v>
      </c>
      <c r="X64" s="18">
        <v>1.3620689655172413</v>
      </c>
      <c r="Y64" s="18">
        <v>0.98309432222222348</v>
      </c>
      <c r="Z64" s="18"/>
      <c r="AA64" s="18"/>
      <c r="AB64" s="75"/>
    </row>
    <row r="65" spans="1:28">
      <c r="A65" s="6" t="str">
        <f>VLOOKUP(D65,[2]Service!$B$15:$H$114,7,FALSE)</f>
        <v>RAJA MOTORS</v>
      </c>
      <c r="B65" s="103" t="str">
        <f t="shared" si="4"/>
        <v>Raja Motors Corporation4183</v>
      </c>
      <c r="C65" s="103" t="s">
        <v>38</v>
      </c>
      <c r="D65" s="5">
        <v>10390</v>
      </c>
      <c r="E65" s="5">
        <v>4183</v>
      </c>
      <c r="F65" s="3" t="s">
        <v>197</v>
      </c>
      <c r="G65" s="3" t="s">
        <v>285</v>
      </c>
      <c r="H65" s="3" t="str">
        <f>VLOOKUP($D65,[3]Service!$B$4:$F$99,5,FALSE)</f>
        <v>Hubballi</v>
      </c>
      <c r="I65" s="3" t="s">
        <v>459</v>
      </c>
      <c r="J65" s="9">
        <v>0</v>
      </c>
      <c r="K65" s="9">
        <v>40</v>
      </c>
      <c r="L65" s="9">
        <v>0</v>
      </c>
      <c r="M65" s="9">
        <v>60</v>
      </c>
      <c r="N65" s="9">
        <v>60</v>
      </c>
      <c r="O65" s="9">
        <v>80</v>
      </c>
      <c r="P65" s="9">
        <f t="shared" si="1"/>
        <v>0</v>
      </c>
      <c r="Q65" s="18">
        <v>1</v>
      </c>
      <c r="R65" s="116">
        <v>4.9000000000000004</v>
      </c>
      <c r="S65" s="19" t="str">
        <f t="shared" si="5"/>
        <v>10390 (100%)</v>
      </c>
      <c r="T65" s="9">
        <f t="shared" ref="T65:T103" si="6">ROUND(P65*Q65,0)</f>
        <v>0</v>
      </c>
      <c r="U65" s="9" t="s">
        <v>1043</v>
      </c>
      <c r="V65" s="9" t="s">
        <v>1044</v>
      </c>
      <c r="W65" s="9" t="s">
        <v>1040</v>
      </c>
      <c r="X65" s="18">
        <v>1.1764705882352942</v>
      </c>
      <c r="Y65" s="18">
        <v>0.7981822573529409</v>
      </c>
      <c r="Z65" s="18"/>
      <c r="AA65" s="18"/>
      <c r="AB65" s="75"/>
    </row>
    <row r="66" spans="1:28">
      <c r="A66" s="6" t="s">
        <v>869</v>
      </c>
      <c r="B66" s="103" t="str">
        <f t="shared" si="4"/>
        <v>Ring Road Motocorp Pvt Ltd2496</v>
      </c>
      <c r="C66" s="103" t="s">
        <v>1050</v>
      </c>
      <c r="D66" s="5">
        <v>20363</v>
      </c>
      <c r="E66" s="5">
        <v>2496</v>
      </c>
      <c r="F66" s="3" t="s">
        <v>197</v>
      </c>
      <c r="G66" s="3" t="s">
        <v>287</v>
      </c>
      <c r="H66" s="3" t="str">
        <f>VLOOKUP($D66,[3]Service!$B$4:$F$99,5,FALSE)</f>
        <v>New Delhi</v>
      </c>
      <c r="I66" s="3" t="s">
        <v>459</v>
      </c>
      <c r="J66" s="9">
        <v>80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f t="shared" si="1"/>
        <v>80</v>
      </c>
      <c r="Q66" s="18">
        <v>0.46994535519125691</v>
      </c>
      <c r="R66" s="116">
        <v>4.7</v>
      </c>
      <c r="S66" s="19" t="str">
        <f t="shared" si="5"/>
        <v>20363 (47%)</v>
      </c>
      <c r="T66" s="9">
        <f t="shared" si="6"/>
        <v>38</v>
      </c>
      <c r="U66" s="9" t="s">
        <v>1043</v>
      </c>
      <c r="V66" s="9" t="s">
        <v>1044</v>
      </c>
      <c r="W66" s="9" t="s">
        <v>1041</v>
      </c>
      <c r="X66" s="18">
        <v>0.93333333333333335</v>
      </c>
      <c r="Y66" s="18">
        <v>0.97390584153005511</v>
      </c>
      <c r="Z66" s="18"/>
      <c r="AA66" s="18"/>
      <c r="AB66" s="75"/>
    </row>
    <row r="67" spans="1:28">
      <c r="A67" s="6" t="s">
        <v>869</v>
      </c>
      <c r="B67" s="103" t="str">
        <f t="shared" si="4"/>
        <v>Ring Road Motocorp Pvt Ltd2496</v>
      </c>
      <c r="C67" s="103" t="s">
        <v>1050</v>
      </c>
      <c r="D67" s="5">
        <v>20359</v>
      </c>
      <c r="E67" s="5">
        <v>2496</v>
      </c>
      <c r="F67" s="3" t="s">
        <v>197</v>
      </c>
      <c r="G67" s="3" t="s">
        <v>289</v>
      </c>
      <c r="H67" s="3" t="str">
        <f>VLOOKUP($D67,[3]Service!$B$4:$F$99,5,FALSE)</f>
        <v>Gurugram</v>
      </c>
      <c r="I67" s="3" t="s">
        <v>462</v>
      </c>
      <c r="J67" s="9">
        <v>80</v>
      </c>
      <c r="K67" s="9">
        <v>0</v>
      </c>
      <c r="L67" s="9">
        <v>0</v>
      </c>
      <c r="M67" s="9">
        <v>75</v>
      </c>
      <c r="N67" s="9">
        <v>0</v>
      </c>
      <c r="O67" s="9">
        <v>0</v>
      </c>
      <c r="P67" s="9">
        <f t="shared" si="1"/>
        <v>155</v>
      </c>
      <c r="Q67" s="18">
        <v>0.5300546448087432</v>
      </c>
      <c r="R67" s="116">
        <v>4.7</v>
      </c>
      <c r="S67" s="19" t="str">
        <f t="shared" si="5"/>
        <v>20359 (53%)</v>
      </c>
      <c r="T67" s="9">
        <f t="shared" si="6"/>
        <v>82</v>
      </c>
      <c r="U67" s="9" t="s">
        <v>1043</v>
      </c>
      <c r="V67" s="9" t="s">
        <v>1044</v>
      </c>
      <c r="W67" s="9" t="s">
        <v>1041</v>
      </c>
      <c r="X67" s="18">
        <v>0.93333333333333335</v>
      </c>
      <c r="Y67" s="18">
        <v>0.97390584153005511</v>
      </c>
      <c r="Z67" s="18"/>
      <c r="AA67" s="18"/>
      <c r="AB67" s="75"/>
    </row>
    <row r="68" spans="1:28">
      <c r="A68" s="6" t="str">
        <f>VLOOKUP(D68,[2]Service!$B$15:$H$114,7,FALSE)</f>
        <v>RN Mobility</v>
      </c>
      <c r="B68" s="103" t="str">
        <f t="shared" si="4"/>
        <v>RN Mobility Pvt. Ltd.1862</v>
      </c>
      <c r="C68" s="103" t="s">
        <v>67</v>
      </c>
      <c r="D68" s="5">
        <v>20402</v>
      </c>
      <c r="E68" s="5">
        <v>1862</v>
      </c>
      <c r="F68" s="3" t="s">
        <v>197</v>
      </c>
      <c r="G68" s="3" t="s">
        <v>291</v>
      </c>
      <c r="H68" s="3" t="str">
        <f>VLOOKUP($D68,[3]Service!$B$4:$F$99,5,FALSE)</f>
        <v>Saharanpur</v>
      </c>
      <c r="I68" s="3" t="s">
        <v>462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f t="shared" ref="P68:P111" si="7">IF(AND(V68="3S",OR(X68&lt;0.895,R68&lt;4.695,Y68&lt;0.895)),0,IF(AND(V68="1S",OR(R68&lt;4.695,Y68&lt;0.895)),0,SUM(J68:O68)))</f>
        <v>0</v>
      </c>
      <c r="Q68" s="18">
        <v>1</v>
      </c>
      <c r="R68" s="116" t="s">
        <v>1063</v>
      </c>
      <c r="S68" s="19" t="str">
        <f t="shared" si="5"/>
        <v>20402 (100%)</v>
      </c>
      <c r="T68" s="9">
        <f t="shared" si="6"/>
        <v>0</v>
      </c>
      <c r="U68" s="9" t="s">
        <v>1039</v>
      </c>
      <c r="V68" s="9" t="s">
        <v>1044</v>
      </c>
      <c r="W68" s="9" t="s">
        <v>1040</v>
      </c>
      <c r="X68" s="18">
        <v>1.125</v>
      </c>
      <c r="Y68" s="18">
        <v>1.1770638064516128</v>
      </c>
      <c r="Z68" s="18"/>
      <c r="AA68" s="18"/>
      <c r="AB68" s="75"/>
    </row>
    <row r="69" spans="1:28">
      <c r="A69" s="6" t="str">
        <f>VLOOKUP(D69,[2]Service!$B$15:$H$114,7,FALSE)</f>
        <v>S7</v>
      </c>
      <c r="B69" s="103" t="str">
        <f t="shared" si="4"/>
        <v>S7 Cars India Pvt. Ltd1204</v>
      </c>
      <c r="C69" s="103" t="s">
        <v>39</v>
      </c>
      <c r="D69" s="5">
        <v>10141</v>
      </c>
      <c r="E69" s="5">
        <v>1204</v>
      </c>
      <c r="F69" s="3" t="s">
        <v>197</v>
      </c>
      <c r="G69" s="3" t="s">
        <v>293</v>
      </c>
      <c r="H69" s="3" t="str">
        <f>VLOOKUP($D69,[3]Service!$B$4:$F$99,5,FALSE)</f>
        <v>Salem</v>
      </c>
      <c r="I69" s="3" t="s">
        <v>462</v>
      </c>
      <c r="J69" s="9">
        <v>100</v>
      </c>
      <c r="K69" s="9">
        <v>50</v>
      </c>
      <c r="L69" s="9">
        <v>100</v>
      </c>
      <c r="M69" s="9">
        <v>75</v>
      </c>
      <c r="N69" s="9">
        <v>75</v>
      </c>
      <c r="O69" s="9">
        <v>100</v>
      </c>
      <c r="P69" s="9">
        <f t="shared" si="7"/>
        <v>0</v>
      </c>
      <c r="Q69" s="18">
        <v>1</v>
      </c>
      <c r="R69" s="116">
        <v>4.8</v>
      </c>
      <c r="S69" s="19" t="str">
        <f t="shared" si="5"/>
        <v>10141 (100%)</v>
      </c>
      <c r="T69" s="9">
        <f t="shared" si="6"/>
        <v>0</v>
      </c>
      <c r="U69" s="9" t="s">
        <v>1043</v>
      </c>
      <c r="V69" s="9" t="s">
        <v>1044</v>
      </c>
      <c r="W69" s="9" t="s">
        <v>1041</v>
      </c>
      <c r="X69" s="18">
        <v>1.2068965517241379</v>
      </c>
      <c r="Y69" s="18">
        <v>0.83722249875000143</v>
      </c>
      <c r="Z69" s="18"/>
      <c r="AA69" s="18"/>
      <c r="AB69" s="75"/>
    </row>
    <row r="70" spans="1:28">
      <c r="A70" s="6" t="str">
        <f>VLOOKUP(D70,[2]Service!$B$15:$H$114,7,FALSE)</f>
        <v>SAISHA</v>
      </c>
      <c r="B70" s="103" t="str">
        <f t="shared" si="4"/>
        <v>Saisha Motors Pvt Ltd1987</v>
      </c>
      <c r="C70" s="103" t="s">
        <v>40</v>
      </c>
      <c r="D70" s="5">
        <v>20290</v>
      </c>
      <c r="E70" s="5">
        <v>1987</v>
      </c>
      <c r="F70" s="3" t="s">
        <v>197</v>
      </c>
      <c r="G70" s="3" t="s">
        <v>295</v>
      </c>
      <c r="H70" s="3" t="str">
        <f>VLOOKUP($D70,[3]Service!$B$4:$F$99,5,FALSE)</f>
        <v>Jaipur</v>
      </c>
      <c r="I70" s="3" t="s">
        <v>462</v>
      </c>
      <c r="J70" s="9">
        <v>80</v>
      </c>
      <c r="K70" s="9">
        <v>50</v>
      </c>
      <c r="L70" s="9">
        <v>80</v>
      </c>
      <c r="M70" s="9">
        <v>75</v>
      </c>
      <c r="N70" s="9">
        <v>60</v>
      </c>
      <c r="O70" s="9">
        <v>80</v>
      </c>
      <c r="P70" s="9">
        <f t="shared" si="7"/>
        <v>425</v>
      </c>
      <c r="Q70" s="18">
        <v>1</v>
      </c>
      <c r="R70" s="116">
        <v>4.7</v>
      </c>
      <c r="S70" s="19" t="str">
        <f t="shared" si="5"/>
        <v>20290 (100%)</v>
      </c>
      <c r="T70" s="9">
        <f t="shared" si="6"/>
        <v>425</v>
      </c>
      <c r="U70" s="9" t="s">
        <v>1043</v>
      </c>
      <c r="V70" s="9" t="s">
        <v>1044</v>
      </c>
      <c r="W70" s="9" t="s">
        <v>1041</v>
      </c>
      <c r="X70" s="18">
        <v>0.93121693121693117</v>
      </c>
      <c r="Y70" s="18">
        <v>1.0997465797922572</v>
      </c>
      <c r="Z70" s="18"/>
      <c r="AA70" s="18"/>
      <c r="AB70" s="75"/>
    </row>
    <row r="71" spans="1:28">
      <c r="A71" s="6" t="str">
        <f>VLOOKUP(D71,[2]Service!$B$15:$H$114,7,FALSE)</f>
        <v>SARRA</v>
      </c>
      <c r="B71" s="103" t="str">
        <f t="shared" si="4"/>
        <v>Sarra Motors1958</v>
      </c>
      <c r="C71" s="103" t="s">
        <v>41</v>
      </c>
      <c r="D71" s="5">
        <v>10032</v>
      </c>
      <c r="E71" s="5">
        <v>1958</v>
      </c>
      <c r="F71" s="3" t="s">
        <v>197</v>
      </c>
      <c r="G71" s="3" t="s">
        <v>297</v>
      </c>
      <c r="H71" s="3" t="str">
        <f>VLOOKUP($D71,[3]Service!$B$4:$F$99,5,FALSE)</f>
        <v>Chhatrapati Sambhajinagar</v>
      </c>
      <c r="I71" s="3" t="s">
        <v>462</v>
      </c>
      <c r="J71" s="9">
        <v>100</v>
      </c>
      <c r="K71" s="9">
        <v>40</v>
      </c>
      <c r="L71" s="9">
        <v>0</v>
      </c>
      <c r="M71" s="9">
        <v>0</v>
      </c>
      <c r="N71" s="9">
        <v>0</v>
      </c>
      <c r="O71" s="9">
        <v>80</v>
      </c>
      <c r="P71" s="9">
        <f t="shared" si="7"/>
        <v>0</v>
      </c>
      <c r="Q71" s="18">
        <v>1</v>
      </c>
      <c r="R71" s="116">
        <v>4.7</v>
      </c>
      <c r="S71" s="19" t="str">
        <f t="shared" si="5"/>
        <v>10032 (100%)</v>
      </c>
      <c r="T71" s="9">
        <f t="shared" si="6"/>
        <v>0</v>
      </c>
      <c r="U71" s="9" t="s">
        <v>1043</v>
      </c>
      <c r="V71" s="9" t="s">
        <v>1044</v>
      </c>
      <c r="W71" s="9" t="s">
        <v>1040</v>
      </c>
      <c r="X71" s="18">
        <v>1.15625</v>
      </c>
      <c r="Y71" s="18">
        <v>0.8741838104166666</v>
      </c>
      <c r="Z71" s="18"/>
      <c r="AA71" s="18"/>
      <c r="AB71" s="75"/>
    </row>
    <row r="72" spans="1:28">
      <c r="A72" s="6" t="str">
        <f>VLOOKUP(D72,[2]Service!$B$15:$H$114,7,FALSE)</f>
        <v>SATGURU</v>
      </c>
      <c r="B72" s="103" t="str">
        <f t="shared" si="4"/>
        <v>Satguru Motors1489</v>
      </c>
      <c r="C72" s="103" t="s">
        <v>42</v>
      </c>
      <c r="D72" s="5">
        <v>10025</v>
      </c>
      <c r="E72" s="5">
        <v>1489</v>
      </c>
      <c r="F72" s="3" t="s">
        <v>197</v>
      </c>
      <c r="G72" s="3" t="s">
        <v>298</v>
      </c>
      <c r="H72" s="3" t="str">
        <f>VLOOKUP($D72,[3]Service!$B$4:$F$99,5,FALSE)</f>
        <v>Indore</v>
      </c>
      <c r="I72" s="3" t="s">
        <v>462</v>
      </c>
      <c r="J72" s="9">
        <v>80</v>
      </c>
      <c r="K72" s="9">
        <v>0</v>
      </c>
      <c r="L72" s="9">
        <v>100</v>
      </c>
      <c r="M72" s="9">
        <v>0</v>
      </c>
      <c r="N72" s="9">
        <v>60</v>
      </c>
      <c r="O72" s="9">
        <v>0</v>
      </c>
      <c r="P72" s="9">
        <f t="shared" si="7"/>
        <v>240</v>
      </c>
      <c r="Q72" s="18">
        <v>1</v>
      </c>
      <c r="R72" s="116">
        <v>4.7</v>
      </c>
      <c r="S72" s="19" t="str">
        <f t="shared" si="5"/>
        <v>10025 (100%)</v>
      </c>
      <c r="T72" s="9">
        <f t="shared" si="6"/>
        <v>240</v>
      </c>
      <c r="U72" s="9" t="s">
        <v>1043</v>
      </c>
      <c r="V72" s="9" t="s">
        <v>1044</v>
      </c>
      <c r="W72" s="9" t="s">
        <v>1040</v>
      </c>
      <c r="X72" s="18">
        <v>4</v>
      </c>
      <c r="Y72" s="18">
        <v>1.0610186615042858</v>
      </c>
      <c r="Z72" s="18"/>
      <c r="AA72" s="18"/>
      <c r="AB72" s="75"/>
    </row>
    <row r="73" spans="1:28">
      <c r="A73" s="6" t="str">
        <f>VLOOKUP(D73,[2]Service!$B$15:$H$114,7,FALSE)</f>
        <v>SGA</v>
      </c>
      <c r="B73" s="103" t="str">
        <f t="shared" si="4"/>
        <v>SGA Cars India Pvt Ltd 2154</v>
      </c>
      <c r="C73" s="103" t="s">
        <v>43</v>
      </c>
      <c r="D73" s="5">
        <v>10259</v>
      </c>
      <c r="E73" s="5">
        <v>2154</v>
      </c>
      <c r="F73" s="3" t="s">
        <v>197</v>
      </c>
      <c r="G73" s="3" t="s">
        <v>299</v>
      </c>
      <c r="H73" s="3" t="str">
        <f>VLOOKUP($D73,[3]Service!$B$4:$F$99,5,FALSE)</f>
        <v>Coimbatore</v>
      </c>
      <c r="I73" s="3" t="s">
        <v>462</v>
      </c>
      <c r="J73" s="9">
        <v>100</v>
      </c>
      <c r="K73" s="9">
        <v>50</v>
      </c>
      <c r="L73" s="9">
        <v>100</v>
      </c>
      <c r="M73" s="9">
        <v>60</v>
      </c>
      <c r="N73" s="9">
        <v>75</v>
      </c>
      <c r="O73" s="9">
        <v>80</v>
      </c>
      <c r="P73" s="9">
        <f t="shared" si="7"/>
        <v>465</v>
      </c>
      <c r="Q73" s="18">
        <v>1</v>
      </c>
      <c r="R73" s="116">
        <v>4.7</v>
      </c>
      <c r="S73" s="19" t="str">
        <f t="shared" si="5"/>
        <v>10259 (100%)</v>
      </c>
      <c r="T73" s="9">
        <f t="shared" si="6"/>
        <v>465</v>
      </c>
      <c r="U73" s="9" t="s">
        <v>1043</v>
      </c>
      <c r="V73" s="9" t="s">
        <v>1044</v>
      </c>
      <c r="W73" s="9" t="s">
        <v>1041</v>
      </c>
      <c r="X73" s="18">
        <v>1.1388888888888888</v>
      </c>
      <c r="Y73" s="18">
        <v>1.1350078891982143</v>
      </c>
      <c r="Z73" s="18"/>
      <c r="AA73" s="18"/>
      <c r="AB73" s="75"/>
    </row>
    <row r="74" spans="1:28">
      <c r="A74" s="6" t="str">
        <f>VLOOKUP(D74,[2]Service!$B$15:$H$114,7,FALSE)</f>
        <v>Shanta</v>
      </c>
      <c r="B74" s="103" t="str">
        <f t="shared" si="4"/>
        <v>Shanta Motors Pvt. Ltd.2185</v>
      </c>
      <c r="C74" s="103" t="s">
        <v>44</v>
      </c>
      <c r="D74" s="5">
        <v>10392</v>
      </c>
      <c r="E74" s="5">
        <v>2185</v>
      </c>
      <c r="F74" s="3" t="s">
        <v>196</v>
      </c>
      <c r="G74" s="3" t="s">
        <v>300</v>
      </c>
      <c r="H74" s="3" t="str">
        <f>VLOOKUP($D74,[3]Service!$B$4:$F$99,5,FALSE)</f>
        <v>Udaipur</v>
      </c>
      <c r="I74" s="3" t="s">
        <v>461</v>
      </c>
      <c r="J74" s="9">
        <v>0</v>
      </c>
      <c r="K74" s="9">
        <v>50</v>
      </c>
      <c r="L74" s="9">
        <v>0</v>
      </c>
      <c r="M74" s="9">
        <v>0</v>
      </c>
      <c r="N74" s="9">
        <v>0</v>
      </c>
      <c r="O74" s="9">
        <v>0</v>
      </c>
      <c r="P74" s="9">
        <f t="shared" si="7"/>
        <v>0</v>
      </c>
      <c r="Q74" s="18">
        <v>1</v>
      </c>
      <c r="R74" s="116">
        <v>4.9000000000000004</v>
      </c>
      <c r="S74" s="19" t="str">
        <f t="shared" si="5"/>
        <v>10392 (100%)</v>
      </c>
      <c r="T74" s="9">
        <f t="shared" si="6"/>
        <v>0</v>
      </c>
      <c r="U74" s="9" t="s">
        <v>1043</v>
      </c>
      <c r="V74" s="9" t="s">
        <v>1044</v>
      </c>
      <c r="W74" s="9" t="s">
        <v>1040</v>
      </c>
      <c r="X74" s="18">
        <v>0.59459459459459463</v>
      </c>
      <c r="Y74" s="18">
        <v>1.0325522571428574</v>
      </c>
      <c r="Z74" s="18"/>
      <c r="AA74" s="18"/>
      <c r="AB74" s="75"/>
    </row>
    <row r="75" spans="1:28">
      <c r="A75" s="6" t="str">
        <f>VLOOKUP(D75,[2]Service!$B$15:$H$114,7,FALSE)</f>
        <v>SHREENATHJI</v>
      </c>
      <c r="B75" s="103" t="str">
        <f t="shared" si="4"/>
        <v>Shreenathji Automobiles Pvt Ltd2774</v>
      </c>
      <c r="C75" s="103" t="s">
        <v>46</v>
      </c>
      <c r="D75" s="5">
        <v>20335</v>
      </c>
      <c r="E75" s="5">
        <v>2774</v>
      </c>
      <c r="F75" s="3" t="s">
        <v>197</v>
      </c>
      <c r="G75" s="3" t="s">
        <v>301</v>
      </c>
      <c r="H75" s="3" t="str">
        <f>VLOOKUP($D75,[3]Service!$B$4:$F$99,5,FALSE)</f>
        <v>Rajkot</v>
      </c>
      <c r="I75" s="3" t="s">
        <v>468</v>
      </c>
      <c r="J75" s="9">
        <v>80</v>
      </c>
      <c r="K75" s="9">
        <v>50</v>
      </c>
      <c r="L75" s="9">
        <v>80</v>
      </c>
      <c r="M75" s="9">
        <v>75</v>
      </c>
      <c r="N75" s="9">
        <v>75</v>
      </c>
      <c r="O75" s="9">
        <v>100</v>
      </c>
      <c r="P75" s="9">
        <f t="shared" si="7"/>
        <v>460</v>
      </c>
      <c r="Q75" s="18">
        <v>1</v>
      </c>
      <c r="R75" s="116">
        <v>4.7</v>
      </c>
      <c r="S75" s="19" t="str">
        <f t="shared" si="5"/>
        <v>20335 (100%)</v>
      </c>
      <c r="T75" s="9">
        <f t="shared" si="6"/>
        <v>460</v>
      </c>
      <c r="U75" s="9" t="s">
        <v>1043</v>
      </c>
      <c r="V75" s="9" t="s">
        <v>1044</v>
      </c>
      <c r="W75" s="9" t="s">
        <v>1041</v>
      </c>
      <c r="X75" s="18">
        <v>1.196969696969697</v>
      </c>
      <c r="Y75" s="18">
        <v>0.9629080694183868</v>
      </c>
      <c r="Z75" s="18"/>
      <c r="AA75" s="18"/>
      <c r="AB75" s="75"/>
    </row>
    <row r="76" spans="1:28">
      <c r="A76" s="6" t="str">
        <f>VLOOKUP(D76,[2]Service!$B$15:$H$114,7,FALSE)</f>
        <v>SBAMPL</v>
      </c>
      <c r="B76" s="103" t="str">
        <f t="shared" si="4"/>
        <v>ShriBalaji AutoAgency Mysore Pvt. Ltd2168</v>
      </c>
      <c r="C76" s="103" t="s">
        <v>47</v>
      </c>
      <c r="D76" s="5">
        <v>10343</v>
      </c>
      <c r="E76" s="5">
        <v>2168</v>
      </c>
      <c r="F76" s="3" t="s">
        <v>196</v>
      </c>
      <c r="G76" s="3" t="s">
        <v>303</v>
      </c>
      <c r="H76" s="3" t="str">
        <f>VLOOKUP($D76,[3]Service!$B$4:$F$99,5,FALSE)</f>
        <v>Mysore</v>
      </c>
      <c r="I76" s="3" t="s">
        <v>460</v>
      </c>
      <c r="J76" s="9">
        <v>0</v>
      </c>
      <c r="K76" s="9">
        <v>0</v>
      </c>
      <c r="L76" s="9">
        <v>0</v>
      </c>
      <c r="M76" s="9">
        <v>75</v>
      </c>
      <c r="N76" s="9">
        <v>60</v>
      </c>
      <c r="O76" s="9">
        <v>0</v>
      </c>
      <c r="P76" s="9">
        <f t="shared" si="7"/>
        <v>0</v>
      </c>
      <c r="Q76" s="18">
        <v>1</v>
      </c>
      <c r="R76" s="116">
        <v>4.5999999999999996</v>
      </c>
      <c r="S76" s="19" t="str">
        <f t="shared" si="5"/>
        <v>10343 (100%)</v>
      </c>
      <c r="T76" s="9">
        <f t="shared" si="6"/>
        <v>0</v>
      </c>
      <c r="U76" s="9" t="s">
        <v>1043</v>
      </c>
      <c r="V76" s="9" t="s">
        <v>1044</v>
      </c>
      <c r="W76" s="9" t="s">
        <v>1040</v>
      </c>
      <c r="X76" s="18">
        <v>0.80487804878048785</v>
      </c>
      <c r="Y76" s="18">
        <v>1.0508960846560855</v>
      </c>
      <c r="Z76" s="18"/>
      <c r="AA76" s="18"/>
      <c r="AB76" s="75"/>
    </row>
    <row r="77" spans="1:28">
      <c r="A77" s="6" t="s">
        <v>1053</v>
      </c>
      <c r="B77" s="103" t="str">
        <f t="shared" si="4"/>
        <v>Unique Automobiles (Cars) Pvt. Ltd2855</v>
      </c>
      <c r="C77" s="103" t="s">
        <v>1052</v>
      </c>
      <c r="D77" s="5">
        <v>10026</v>
      </c>
      <c r="E77" s="5">
        <v>2855</v>
      </c>
      <c r="F77" s="3" t="s">
        <v>196</v>
      </c>
      <c r="G77" s="3"/>
      <c r="H77" s="3" t="str">
        <f>VLOOKUP($D77,[3]Service!$B$4:$F$99,5,FALSE)</f>
        <v>Kolhapur</v>
      </c>
      <c r="I77" s="3" t="s">
        <v>460</v>
      </c>
      <c r="J77" s="9">
        <v>100</v>
      </c>
      <c r="K77" s="9">
        <v>50</v>
      </c>
      <c r="L77" s="9">
        <v>0</v>
      </c>
      <c r="M77" s="9">
        <v>60</v>
      </c>
      <c r="N77" s="9">
        <v>75</v>
      </c>
      <c r="O77" s="9">
        <v>80</v>
      </c>
      <c r="P77" s="9">
        <f t="shared" si="7"/>
        <v>0</v>
      </c>
      <c r="Q77" s="18">
        <v>1</v>
      </c>
      <c r="R77" s="116">
        <v>4.7</v>
      </c>
      <c r="S77" s="19" t="str">
        <f t="shared" si="5"/>
        <v>10026 (100%)</v>
      </c>
      <c r="T77" s="9">
        <f t="shared" si="6"/>
        <v>0</v>
      </c>
      <c r="U77" s="9" t="s">
        <v>1043</v>
      </c>
      <c r="V77" s="9" t="s">
        <v>1044</v>
      </c>
      <c r="W77" s="9" t="s">
        <v>1041</v>
      </c>
      <c r="X77" s="18">
        <v>1.1904761904761905</v>
      </c>
      <c r="Y77" s="18">
        <v>0.62240915915915951</v>
      </c>
      <c r="Z77" s="18"/>
      <c r="AA77" s="18"/>
      <c r="AB77" s="75"/>
    </row>
    <row r="78" spans="1:28">
      <c r="A78" s="6" t="str">
        <f>VLOOKUP(D78,[2]Service!$B$15:$H$114,7,FALSE)</f>
        <v>SIDAK + BLC</v>
      </c>
      <c r="B78" s="103" t="str">
        <f t="shared" si="4"/>
        <v>BLC Autosales Pvt Ltd+Sidak Automobiles1337</v>
      </c>
      <c r="C78" s="104" t="s">
        <v>8</v>
      </c>
      <c r="D78" s="5">
        <v>10100</v>
      </c>
      <c r="E78" s="5">
        <v>1337</v>
      </c>
      <c r="F78" s="3" t="s">
        <v>196</v>
      </c>
      <c r="G78" s="3" t="s">
        <v>304</v>
      </c>
      <c r="H78" s="3" t="str">
        <f>VLOOKUP($D78,[3]Service!$B$4:$F$99,5,FALSE)</f>
        <v>Karnal</v>
      </c>
      <c r="I78" s="3" t="s">
        <v>464</v>
      </c>
      <c r="J78" s="9">
        <v>100</v>
      </c>
      <c r="K78" s="9">
        <v>50</v>
      </c>
      <c r="L78" s="9">
        <v>80</v>
      </c>
      <c r="M78" s="9">
        <v>0</v>
      </c>
      <c r="N78" s="9">
        <v>0</v>
      </c>
      <c r="O78" s="9">
        <v>80</v>
      </c>
      <c r="P78" s="9">
        <f t="shared" si="7"/>
        <v>0</v>
      </c>
      <c r="Q78" s="18">
        <v>0.7213114754098362</v>
      </c>
      <c r="R78" s="116">
        <v>4.7</v>
      </c>
      <c r="S78" s="19" t="str">
        <f t="shared" si="5"/>
        <v>10100 (72%)</v>
      </c>
      <c r="T78" s="9">
        <f t="shared" si="6"/>
        <v>0</v>
      </c>
      <c r="U78" s="9" t="s">
        <v>1043</v>
      </c>
      <c r="V78" s="9" t="s">
        <v>1044</v>
      </c>
      <c r="W78" s="9" t="s">
        <v>1040</v>
      </c>
      <c r="X78" s="18">
        <v>0.83471074380165289</v>
      </c>
      <c r="Y78" s="18">
        <v>0.97989442388758841</v>
      </c>
      <c r="Z78" s="18"/>
      <c r="AA78" s="18"/>
      <c r="AB78" s="75"/>
    </row>
    <row r="79" spans="1:28">
      <c r="A79" s="6" t="str">
        <f>VLOOKUP(D79,[2]Service!$B$15:$H$114,7,FALSE)</f>
        <v>Singhania</v>
      </c>
      <c r="B79" s="103" t="str">
        <f t="shared" si="4"/>
        <v>Singhania Motors Pvt Ltd4077</v>
      </c>
      <c r="C79" s="103" t="s">
        <v>49</v>
      </c>
      <c r="D79" s="5">
        <v>10373</v>
      </c>
      <c r="E79" s="5">
        <v>4077</v>
      </c>
      <c r="F79" s="3" t="s">
        <v>196</v>
      </c>
      <c r="G79" s="3" t="s">
        <v>305</v>
      </c>
      <c r="H79" s="3" t="str">
        <f>VLOOKUP($D79,[3]Service!$B$4:$F$99,5,FALSE)</f>
        <v>Dhanbad</v>
      </c>
      <c r="I79" s="3" t="s">
        <v>464</v>
      </c>
      <c r="J79" s="9">
        <v>0</v>
      </c>
      <c r="K79" s="9">
        <v>0</v>
      </c>
      <c r="L79" s="9">
        <v>0</v>
      </c>
      <c r="M79" s="9">
        <v>0</v>
      </c>
      <c r="N79" s="9">
        <v>60</v>
      </c>
      <c r="O79" s="9">
        <v>0</v>
      </c>
      <c r="P79" s="9">
        <f t="shared" si="7"/>
        <v>0</v>
      </c>
      <c r="Q79" s="18">
        <v>0.37254901960784315</v>
      </c>
      <c r="R79" s="116">
        <v>4.7</v>
      </c>
      <c r="S79" s="19" t="str">
        <f t="shared" si="5"/>
        <v>10373 (37%)</v>
      </c>
      <c r="T79" s="9">
        <f t="shared" si="6"/>
        <v>0</v>
      </c>
      <c r="U79" s="9" t="s">
        <v>1043</v>
      </c>
      <c r="V79" s="9" t="s">
        <v>1044</v>
      </c>
      <c r="W79" s="9" t="s">
        <v>1040</v>
      </c>
      <c r="X79" s="18">
        <v>1.1527777777777777</v>
      </c>
      <c r="Y79" s="18">
        <v>0.89017442352941212</v>
      </c>
      <c r="Z79" s="18"/>
      <c r="AA79" s="18"/>
      <c r="AB79" s="75"/>
    </row>
    <row r="80" spans="1:28">
      <c r="A80" s="6" t="str">
        <f>VLOOKUP(D80,[2]Service!$B$15:$H$114,7,FALSE)</f>
        <v>Singhania</v>
      </c>
      <c r="B80" s="103" t="str">
        <f t="shared" si="4"/>
        <v>Singhania Motors Pvt Ltd4077</v>
      </c>
      <c r="C80" s="103" t="s">
        <v>49</v>
      </c>
      <c r="D80" s="5">
        <v>10372</v>
      </c>
      <c r="E80" s="5">
        <v>4077</v>
      </c>
      <c r="F80" s="3" t="s">
        <v>196</v>
      </c>
      <c r="G80" s="3" t="s">
        <v>212</v>
      </c>
      <c r="H80" s="3" t="str">
        <f>VLOOKUP($D80,[3]Service!$B$4:$F$99,5,FALSE)</f>
        <v>Ranchi</v>
      </c>
      <c r="I80" s="3" t="s">
        <v>464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f t="shared" si="7"/>
        <v>0</v>
      </c>
      <c r="Q80" s="18">
        <v>0.62745098039215697</v>
      </c>
      <c r="R80" s="116">
        <v>4.7</v>
      </c>
      <c r="S80" s="19" t="str">
        <f t="shared" si="5"/>
        <v>10372 (63%)</v>
      </c>
      <c r="T80" s="9">
        <f t="shared" si="6"/>
        <v>0</v>
      </c>
      <c r="U80" s="9" t="s">
        <v>1043</v>
      </c>
      <c r="V80" s="9" t="s">
        <v>1044</v>
      </c>
      <c r="W80" s="9" t="s">
        <v>1040</v>
      </c>
      <c r="X80" s="18">
        <v>1.1527777777777777</v>
      </c>
      <c r="Y80" s="18">
        <v>0.89017442352941212</v>
      </c>
      <c r="Z80" s="18"/>
      <c r="AA80" s="18"/>
      <c r="AB80" s="75"/>
    </row>
    <row r="81" spans="1:28">
      <c r="A81" s="6" t="str">
        <f>VLOOKUP(D81,[2]Service!$B$15:$H$114,7,FALSE)</f>
        <v>SPEED</v>
      </c>
      <c r="B81" s="103" t="str">
        <f t="shared" si="4"/>
        <v>Speed Automotive Pvt. Ltd.2427</v>
      </c>
      <c r="C81" s="103" t="s">
        <v>50</v>
      </c>
      <c r="D81" s="5">
        <v>10102</v>
      </c>
      <c r="E81" s="5">
        <v>2427</v>
      </c>
      <c r="F81" s="3" t="s">
        <v>196</v>
      </c>
      <c r="G81" s="3" t="s">
        <v>307</v>
      </c>
      <c r="H81" s="3" t="str">
        <f>VLOOKUP($D81,[3]Service!$B$4:$F$99,5,FALSE)</f>
        <v>Raipur</v>
      </c>
      <c r="I81" s="3" t="s">
        <v>464</v>
      </c>
      <c r="J81" s="9">
        <v>0</v>
      </c>
      <c r="K81" s="9">
        <v>40</v>
      </c>
      <c r="L81" s="9">
        <v>100</v>
      </c>
      <c r="M81" s="9">
        <v>0</v>
      </c>
      <c r="N81" s="9">
        <v>60</v>
      </c>
      <c r="O81" s="9">
        <v>0</v>
      </c>
      <c r="P81" s="9">
        <f t="shared" si="7"/>
        <v>0</v>
      </c>
      <c r="Q81" s="18">
        <v>0.67844522968197873</v>
      </c>
      <c r="R81" s="116">
        <v>4.0999999999999996</v>
      </c>
      <c r="S81" s="19" t="str">
        <f t="shared" si="5"/>
        <v>10102 (68%)</v>
      </c>
      <c r="T81" s="9">
        <f t="shared" si="6"/>
        <v>0</v>
      </c>
      <c r="U81" s="9" t="s">
        <v>1043</v>
      </c>
      <c r="V81" s="9" t="s">
        <v>1044</v>
      </c>
      <c r="W81" s="9" t="s">
        <v>1040</v>
      </c>
      <c r="X81" s="18">
        <v>0.23684210526315788</v>
      </c>
      <c r="Y81" s="18">
        <v>0.68410479151943437</v>
      </c>
      <c r="Z81" s="18"/>
      <c r="AA81" s="18"/>
      <c r="AB81" s="75"/>
    </row>
    <row r="82" spans="1:28">
      <c r="A82" s="6" t="str">
        <f>VLOOKUP(D82,[2]Service!$B$15:$H$114,7,FALSE)</f>
        <v>SPEED</v>
      </c>
      <c r="B82" s="103" t="str">
        <f t="shared" si="4"/>
        <v>Speed Automotive Pvt. Ltd.2427</v>
      </c>
      <c r="C82" s="103" t="s">
        <v>50</v>
      </c>
      <c r="D82" s="5">
        <v>10375</v>
      </c>
      <c r="E82" s="5">
        <v>2427</v>
      </c>
      <c r="F82" s="3" t="s">
        <v>197</v>
      </c>
      <c r="G82" s="3" t="s">
        <v>308</v>
      </c>
      <c r="H82" s="3" t="str">
        <f>VLOOKUP($D82,[3]Service!$B$4:$F$99,5,FALSE)</f>
        <v>Bilaspur</v>
      </c>
      <c r="I82" s="3" t="s">
        <v>468</v>
      </c>
      <c r="J82" s="9">
        <v>0</v>
      </c>
      <c r="K82" s="9">
        <v>50</v>
      </c>
      <c r="L82" s="9">
        <v>100</v>
      </c>
      <c r="M82" s="9">
        <v>75</v>
      </c>
      <c r="N82" s="9">
        <v>75</v>
      </c>
      <c r="O82" s="9">
        <v>100</v>
      </c>
      <c r="P82" s="9">
        <f t="shared" si="7"/>
        <v>0</v>
      </c>
      <c r="Q82" s="18">
        <v>0.32155477031802121</v>
      </c>
      <c r="R82" s="116">
        <v>4.4000000000000004</v>
      </c>
      <c r="S82" s="19" t="str">
        <f t="shared" si="5"/>
        <v>10375 (32%)</v>
      </c>
      <c r="T82" s="9">
        <f t="shared" si="6"/>
        <v>0</v>
      </c>
      <c r="U82" s="9" t="s">
        <v>1043</v>
      </c>
      <c r="V82" s="9" t="s">
        <v>1044</v>
      </c>
      <c r="W82" s="9" t="s">
        <v>1040</v>
      </c>
      <c r="X82" s="18">
        <v>0.23684210526315788</v>
      </c>
      <c r="Y82" s="18">
        <v>0.68410479151943437</v>
      </c>
      <c r="Z82" s="18"/>
      <c r="AA82" s="18"/>
      <c r="AB82" s="75"/>
    </row>
    <row r="83" spans="1:28">
      <c r="A83" s="6" t="str">
        <f>VLOOKUP(D83,[2]Service!$B$15:$H$114,7,FALSE)</f>
        <v>Speedworks</v>
      </c>
      <c r="B83" s="103" t="str">
        <f t="shared" si="4"/>
        <v>Speedworks Auto Private Limited3225</v>
      </c>
      <c r="C83" s="103" t="s">
        <v>51</v>
      </c>
      <c r="D83" s="5">
        <v>20369</v>
      </c>
      <c r="E83" s="5">
        <v>3225</v>
      </c>
      <c r="F83" s="3" t="s">
        <v>196</v>
      </c>
      <c r="G83" s="3" t="s">
        <v>310</v>
      </c>
      <c r="H83" s="3" t="str">
        <f>VLOOKUP($D83,[3]Service!$B$4:$F$99,5,FALSE)</f>
        <v>Kanpur</v>
      </c>
      <c r="I83" s="3" t="s">
        <v>461</v>
      </c>
      <c r="J83" s="9">
        <v>100</v>
      </c>
      <c r="K83" s="9">
        <v>50</v>
      </c>
      <c r="L83" s="9">
        <v>0</v>
      </c>
      <c r="M83" s="9">
        <v>75</v>
      </c>
      <c r="N83" s="9">
        <v>75</v>
      </c>
      <c r="O83" s="9">
        <v>100</v>
      </c>
      <c r="P83" s="9">
        <f t="shared" si="7"/>
        <v>400</v>
      </c>
      <c r="Q83" s="18">
        <v>0.36138613861386137</v>
      </c>
      <c r="R83" s="116">
        <v>4.9000000000000004</v>
      </c>
      <c r="S83" s="19" t="str">
        <f t="shared" si="5"/>
        <v>20369 (36%)</v>
      </c>
      <c r="T83" s="9">
        <f t="shared" si="6"/>
        <v>145</v>
      </c>
      <c r="U83" s="9" t="s">
        <v>1043</v>
      </c>
      <c r="V83" s="9" t="s">
        <v>1044</v>
      </c>
      <c r="W83" s="9" t="s">
        <v>1041</v>
      </c>
      <c r="X83" s="18">
        <v>1.1654135338345866</v>
      </c>
      <c r="Y83" s="18">
        <v>1.0234260709570948</v>
      </c>
      <c r="Z83" s="18"/>
      <c r="AA83" s="18"/>
      <c r="AB83" s="75"/>
    </row>
    <row r="84" spans="1:28">
      <c r="A84" s="6" t="str">
        <f>VLOOKUP(D84,[2]Service!$B$15:$H$114,7,FALSE)</f>
        <v>STELLAR</v>
      </c>
      <c r="B84" s="103" t="str">
        <f t="shared" si="4"/>
        <v>Stellar Autohaus Pvt ltd  2358</v>
      </c>
      <c r="C84" s="103" t="s">
        <v>53</v>
      </c>
      <c r="D84" s="5">
        <v>20316</v>
      </c>
      <c r="E84" s="5">
        <v>2358</v>
      </c>
      <c r="F84" s="3" t="s">
        <v>196</v>
      </c>
      <c r="G84" s="3" t="s">
        <v>312</v>
      </c>
      <c r="H84" s="3" t="str">
        <f>VLOOKUP($D84,[3]Service!$B$4:$F$99,5,FALSE)</f>
        <v>Ahmedabad</v>
      </c>
      <c r="I84" s="3" t="s">
        <v>461</v>
      </c>
      <c r="J84" s="9">
        <v>100</v>
      </c>
      <c r="K84" s="9">
        <v>50</v>
      </c>
      <c r="L84" s="9">
        <v>100</v>
      </c>
      <c r="M84" s="9">
        <v>75</v>
      </c>
      <c r="N84" s="9">
        <v>60</v>
      </c>
      <c r="O84" s="9">
        <v>80</v>
      </c>
      <c r="P84" s="9">
        <f t="shared" si="7"/>
        <v>0</v>
      </c>
      <c r="Q84" s="18">
        <v>0.3900841908325538</v>
      </c>
      <c r="R84" s="116">
        <v>4.5999999999999996</v>
      </c>
      <c r="S84" s="19" t="str">
        <f t="shared" si="5"/>
        <v>20316 (39%)</v>
      </c>
      <c r="T84" s="9">
        <f t="shared" si="6"/>
        <v>0</v>
      </c>
      <c r="U84" s="9" t="s">
        <v>1043</v>
      </c>
      <c r="V84" s="9" t="s">
        <v>1044</v>
      </c>
      <c r="W84" s="9" t="s">
        <v>1041</v>
      </c>
      <c r="X84" s="18">
        <v>0.96595744680851059</v>
      </c>
      <c r="Y84" s="18">
        <v>1.0630671856221343</v>
      </c>
      <c r="Z84" s="18"/>
      <c r="AA84" s="18"/>
      <c r="AB84" s="75"/>
    </row>
    <row r="85" spans="1:28">
      <c r="A85" s="6" t="str">
        <f>VLOOKUP(D85,[2]Service!$B$15:$H$114,7,FALSE)</f>
        <v>STELLAR</v>
      </c>
      <c r="B85" s="103" t="str">
        <f t="shared" si="4"/>
        <v>Stellar Autohaus Pvt ltd  2358</v>
      </c>
      <c r="C85" s="103" t="s">
        <v>53</v>
      </c>
      <c r="D85" s="5">
        <v>20333</v>
      </c>
      <c r="E85" s="5">
        <v>2358</v>
      </c>
      <c r="F85" s="3" t="s">
        <v>196</v>
      </c>
      <c r="G85" s="3" t="s">
        <v>314</v>
      </c>
      <c r="H85" s="3" t="str">
        <f>VLOOKUP($D85,[3]Service!$B$4:$F$99,5,FALSE)</f>
        <v>Surat</v>
      </c>
      <c r="I85" s="3" t="s">
        <v>461</v>
      </c>
      <c r="J85" s="9">
        <v>100</v>
      </c>
      <c r="K85" s="9">
        <v>50</v>
      </c>
      <c r="L85" s="9">
        <v>100</v>
      </c>
      <c r="M85" s="9">
        <v>75</v>
      </c>
      <c r="N85" s="9">
        <v>75</v>
      </c>
      <c r="O85" s="9">
        <v>100</v>
      </c>
      <c r="P85" s="9">
        <f t="shared" si="7"/>
        <v>500</v>
      </c>
      <c r="Q85" s="18">
        <v>0.43217960710944808</v>
      </c>
      <c r="R85" s="116">
        <v>4.8</v>
      </c>
      <c r="S85" s="19" t="str">
        <f t="shared" si="5"/>
        <v>20333 (43%)</v>
      </c>
      <c r="T85" s="9">
        <f t="shared" si="6"/>
        <v>216</v>
      </c>
      <c r="U85" s="9" t="s">
        <v>1043</v>
      </c>
      <c r="V85" s="9" t="s">
        <v>1044</v>
      </c>
      <c r="W85" s="9" t="s">
        <v>1041</v>
      </c>
      <c r="X85" s="18">
        <v>0.96595744680851059</v>
      </c>
      <c r="Y85" s="18">
        <v>1.0630671856221343</v>
      </c>
      <c r="Z85" s="18"/>
      <c r="AA85" s="18"/>
      <c r="AB85" s="75"/>
    </row>
    <row r="86" spans="1:28">
      <c r="A86" s="6" t="str">
        <f>VLOOKUP(D86,[2]Service!$B$15:$H$114,7,FALSE)</f>
        <v>STELLAR</v>
      </c>
      <c r="B86" s="103" t="str">
        <f t="shared" si="4"/>
        <v>Stellar Autohaus Pvt ltd  2358</v>
      </c>
      <c r="C86" s="103" t="s">
        <v>53</v>
      </c>
      <c r="D86" s="5">
        <v>20323</v>
      </c>
      <c r="E86" s="5">
        <v>2358</v>
      </c>
      <c r="F86" s="3" t="s">
        <v>196</v>
      </c>
      <c r="G86" s="3" t="s">
        <v>316</v>
      </c>
      <c r="H86" s="3" t="str">
        <f>VLOOKUP($D86,[3]Service!$B$4:$F$99,5,FALSE)</f>
        <v>Vadodara</v>
      </c>
      <c r="I86" s="3" t="s">
        <v>461</v>
      </c>
      <c r="J86" s="9">
        <v>80</v>
      </c>
      <c r="K86" s="9">
        <v>40</v>
      </c>
      <c r="L86" s="9">
        <v>100</v>
      </c>
      <c r="M86" s="9">
        <v>75</v>
      </c>
      <c r="N86" s="9">
        <v>60</v>
      </c>
      <c r="O86" s="9">
        <v>80</v>
      </c>
      <c r="P86" s="9">
        <f t="shared" si="7"/>
        <v>435</v>
      </c>
      <c r="Q86" s="18">
        <v>0.17773620205799814</v>
      </c>
      <c r="R86" s="116">
        <v>4.7</v>
      </c>
      <c r="S86" s="19" t="str">
        <f t="shared" si="5"/>
        <v>20323 (18%)</v>
      </c>
      <c r="T86" s="9">
        <f t="shared" si="6"/>
        <v>77</v>
      </c>
      <c r="U86" s="9" t="s">
        <v>1043</v>
      </c>
      <c r="V86" s="9" t="s">
        <v>1044</v>
      </c>
      <c r="W86" s="9" t="s">
        <v>1041</v>
      </c>
      <c r="X86" s="18">
        <v>0.96595744680851059</v>
      </c>
      <c r="Y86" s="18">
        <v>1.0630671856221343</v>
      </c>
      <c r="Z86" s="18"/>
      <c r="AA86" s="18"/>
      <c r="AB86" s="75"/>
    </row>
    <row r="87" spans="1:28">
      <c r="A87" s="6" t="str">
        <f>VLOOKUP(D87,[2]Service!$B$15:$H$114,7,FALSE)</f>
        <v>SVA</v>
      </c>
      <c r="B87" s="103" t="str">
        <f t="shared" si="4"/>
        <v>SV Autowheels LLP 2785</v>
      </c>
      <c r="C87" s="103" t="s">
        <v>54</v>
      </c>
      <c r="D87" s="5">
        <v>20353</v>
      </c>
      <c r="E87" s="5">
        <v>2785</v>
      </c>
      <c r="F87" s="3" t="s">
        <v>197</v>
      </c>
      <c r="G87" s="3" t="s">
        <v>317</v>
      </c>
      <c r="H87" s="3" t="str">
        <f>VLOOKUP($D87,[3]Service!$B$4:$F$99,5,FALSE)</f>
        <v>Patna</v>
      </c>
      <c r="I87" s="3" t="s">
        <v>462</v>
      </c>
      <c r="J87" s="9">
        <v>0</v>
      </c>
      <c r="K87" s="9">
        <v>40</v>
      </c>
      <c r="L87" s="9">
        <v>0</v>
      </c>
      <c r="M87" s="9">
        <v>0</v>
      </c>
      <c r="N87" s="9">
        <v>0</v>
      </c>
      <c r="O87" s="9">
        <v>80</v>
      </c>
      <c r="P87" s="9">
        <f t="shared" si="7"/>
        <v>0</v>
      </c>
      <c r="Q87" s="18">
        <v>1</v>
      </c>
      <c r="R87" s="116">
        <v>4.8</v>
      </c>
      <c r="S87" s="19" t="str">
        <f t="shared" si="5"/>
        <v>20353 (100%)</v>
      </c>
      <c r="T87" s="9">
        <f t="shared" si="6"/>
        <v>0</v>
      </c>
      <c r="U87" s="9" t="s">
        <v>1043</v>
      </c>
      <c r="V87" s="9" t="s">
        <v>1044</v>
      </c>
      <c r="W87" s="9" t="s">
        <v>1041</v>
      </c>
      <c r="X87" s="18">
        <v>0.6953125</v>
      </c>
      <c r="Y87" s="18">
        <v>1.1981894709677425</v>
      </c>
      <c r="Z87" s="18"/>
      <c r="AA87" s="18"/>
      <c r="AB87" s="75"/>
    </row>
    <row r="88" spans="1:28">
      <c r="A88" s="6" t="str">
        <f>VLOOKUP(D88,[2]Service!$B$15:$H$114,7,FALSE)</f>
        <v>TAFE</v>
      </c>
      <c r="B88" s="103" t="str">
        <f t="shared" si="4"/>
        <v>Tafe Access Limited 2347</v>
      </c>
      <c r="C88" s="103" t="s">
        <v>55</v>
      </c>
      <c r="D88" s="5">
        <v>22021</v>
      </c>
      <c r="E88" s="5">
        <v>2347</v>
      </c>
      <c r="F88" s="3" t="s">
        <v>197</v>
      </c>
      <c r="G88" s="3" t="s">
        <v>318</v>
      </c>
      <c r="H88" s="3" t="str">
        <f>VLOOKUP($D88,[3]Service!$B$4:$F$99,5,FALSE)</f>
        <v>Bengaluru</v>
      </c>
      <c r="I88" s="3" t="s">
        <v>462</v>
      </c>
      <c r="J88" s="9">
        <v>100</v>
      </c>
      <c r="K88" s="9">
        <v>0</v>
      </c>
      <c r="L88" s="9">
        <v>100</v>
      </c>
      <c r="M88" s="9">
        <v>60</v>
      </c>
      <c r="N88" s="9">
        <v>0</v>
      </c>
      <c r="O88" s="9">
        <v>0</v>
      </c>
      <c r="P88" s="9">
        <f t="shared" si="7"/>
        <v>0</v>
      </c>
      <c r="Q88" s="18">
        <v>0.81436642453591601</v>
      </c>
      <c r="R88" s="116">
        <v>4.5</v>
      </c>
      <c r="S88" s="19" t="str">
        <f t="shared" si="5"/>
        <v>22021 (81%)</v>
      </c>
      <c r="T88" s="9">
        <f t="shared" si="6"/>
        <v>0</v>
      </c>
      <c r="U88" s="9" t="s">
        <v>1043</v>
      </c>
      <c r="V88" s="9" t="s">
        <v>1044</v>
      </c>
      <c r="W88" s="9" t="s">
        <v>1041</v>
      </c>
      <c r="X88" s="18">
        <v>1.096938775510204</v>
      </c>
      <c r="Y88" s="18">
        <v>1.1180657861178362</v>
      </c>
      <c r="Z88" s="18"/>
      <c r="AA88" s="18"/>
      <c r="AB88" s="75"/>
    </row>
    <row r="89" spans="1:28">
      <c r="A89" s="6" t="str">
        <f>VLOOKUP(D89,[2]Service!$B$15:$H$114,7,FALSE)</f>
        <v>TAFE</v>
      </c>
      <c r="B89" s="103" t="str">
        <f t="shared" si="4"/>
        <v>Tafe Access Limited 2347</v>
      </c>
      <c r="C89" s="103" t="s">
        <v>55</v>
      </c>
      <c r="D89" s="5">
        <v>23021</v>
      </c>
      <c r="E89" s="5">
        <v>2347</v>
      </c>
      <c r="F89" s="3" t="s">
        <v>197</v>
      </c>
      <c r="G89" s="3" t="s">
        <v>319</v>
      </c>
      <c r="H89" s="3" t="str">
        <f>VLOOKUP($D89,[3]Service!$B$4:$F$99,5,FALSE)</f>
        <v>Mangalore</v>
      </c>
      <c r="I89" s="3" t="s">
        <v>462</v>
      </c>
      <c r="J89" s="9">
        <v>100</v>
      </c>
      <c r="K89" s="9">
        <v>50</v>
      </c>
      <c r="L89" s="9">
        <v>100</v>
      </c>
      <c r="M89" s="9">
        <v>75</v>
      </c>
      <c r="N89" s="9">
        <v>60</v>
      </c>
      <c r="O89" s="9">
        <v>100</v>
      </c>
      <c r="P89" s="9">
        <f t="shared" si="7"/>
        <v>485</v>
      </c>
      <c r="Q89" s="18">
        <v>0.18563357546408391</v>
      </c>
      <c r="R89" s="116">
        <v>4.7</v>
      </c>
      <c r="S89" s="19" t="str">
        <f t="shared" si="5"/>
        <v>23021 (19%)</v>
      </c>
      <c r="T89" s="9">
        <f t="shared" si="6"/>
        <v>90</v>
      </c>
      <c r="U89" s="9" t="s">
        <v>1043</v>
      </c>
      <c r="V89" s="9" t="s">
        <v>1044</v>
      </c>
      <c r="W89" s="9" t="s">
        <v>1041</v>
      </c>
      <c r="X89" s="18">
        <v>1.096938775510204</v>
      </c>
      <c r="Y89" s="18">
        <v>1.1180657861178362</v>
      </c>
      <c r="Z89" s="18"/>
      <c r="AA89" s="18"/>
      <c r="AB89" s="75"/>
    </row>
    <row r="90" spans="1:28">
      <c r="A90" s="6" t="str">
        <f>VLOOKUP(D90,[2]Service!$B$15:$H$114,7,FALSE)</f>
        <v>United</v>
      </c>
      <c r="B90" s="103" t="str">
        <f t="shared" si="4"/>
        <v>United Wheels1996</v>
      </c>
      <c r="C90" s="103" t="s">
        <v>56</v>
      </c>
      <c r="D90" s="5">
        <v>10394</v>
      </c>
      <c r="E90" s="5">
        <v>1996</v>
      </c>
      <c r="F90" s="3" t="s">
        <v>197</v>
      </c>
      <c r="G90" s="3" t="s">
        <v>321</v>
      </c>
      <c r="H90" s="3" t="str">
        <f>VLOOKUP($D90,[3]Service!$B$4:$F$99,5,FALSE)</f>
        <v>Ambala</v>
      </c>
      <c r="I90" s="3" t="s">
        <v>462</v>
      </c>
      <c r="J90" s="9">
        <v>80</v>
      </c>
      <c r="K90" s="9">
        <v>50</v>
      </c>
      <c r="L90" s="9">
        <v>0</v>
      </c>
      <c r="M90" s="9">
        <v>75</v>
      </c>
      <c r="N90" s="9">
        <v>60</v>
      </c>
      <c r="O90" s="9">
        <v>80</v>
      </c>
      <c r="P90" s="9">
        <f t="shared" si="7"/>
        <v>345</v>
      </c>
      <c r="Q90" s="18">
        <v>1</v>
      </c>
      <c r="R90" s="116">
        <v>4.8</v>
      </c>
      <c r="S90" s="19" t="str">
        <f t="shared" si="5"/>
        <v>10394 (100%)</v>
      </c>
      <c r="T90" s="9">
        <f t="shared" si="6"/>
        <v>345</v>
      </c>
      <c r="U90" s="9" t="s">
        <v>1043</v>
      </c>
      <c r="V90" s="9" t="s">
        <v>1044</v>
      </c>
      <c r="W90" s="9" t="s">
        <v>1040</v>
      </c>
      <c r="X90" s="18">
        <v>0.95833333333333337</v>
      </c>
      <c r="Y90" s="18">
        <v>1.4305060769230775</v>
      </c>
      <c r="Z90" s="18"/>
      <c r="AA90" s="18"/>
      <c r="AB90" s="75"/>
    </row>
    <row r="91" spans="1:28">
      <c r="A91" s="6" t="str">
        <f>VLOOKUP(D91,[2]Service!$B$15:$H$114,7,FALSE)</f>
        <v>Utsav</v>
      </c>
      <c r="B91" s="103" t="str">
        <f t="shared" si="4"/>
        <v>Utsav India Cars LLP3902</v>
      </c>
      <c r="C91" s="103" t="s">
        <v>57</v>
      </c>
      <c r="D91" s="5">
        <v>20396</v>
      </c>
      <c r="E91" s="5">
        <v>3902</v>
      </c>
      <c r="F91" s="3" t="s">
        <v>197</v>
      </c>
      <c r="G91" s="3" t="s">
        <v>323</v>
      </c>
      <c r="H91" s="3" t="str">
        <f>VLOOKUP($D91,[3]Service!$B$4:$F$99,5,FALSE)</f>
        <v>Jodhpur</v>
      </c>
      <c r="I91" s="3" t="s">
        <v>462</v>
      </c>
      <c r="J91" s="9">
        <v>0</v>
      </c>
      <c r="K91" s="9">
        <v>0</v>
      </c>
      <c r="L91" s="9">
        <v>100</v>
      </c>
      <c r="M91" s="9">
        <v>75</v>
      </c>
      <c r="N91" s="9">
        <v>75</v>
      </c>
      <c r="O91" s="9">
        <v>0</v>
      </c>
      <c r="P91" s="9">
        <f t="shared" si="7"/>
        <v>250</v>
      </c>
      <c r="Q91" s="18">
        <v>1</v>
      </c>
      <c r="R91" s="116">
        <v>4.9000000000000004</v>
      </c>
      <c r="S91" s="19" t="str">
        <f t="shared" si="5"/>
        <v>20396 (100%)</v>
      </c>
      <c r="T91" s="9">
        <f t="shared" si="6"/>
        <v>250</v>
      </c>
      <c r="U91" s="9" t="s">
        <v>1043</v>
      </c>
      <c r="V91" s="9" t="s">
        <v>1044</v>
      </c>
      <c r="W91" s="9" t="s">
        <v>1041</v>
      </c>
      <c r="X91" s="18">
        <v>1.0588235294117647</v>
      </c>
      <c r="Y91" s="18">
        <v>1.2879249135135138</v>
      </c>
      <c r="Z91" s="18"/>
      <c r="AA91" s="18"/>
      <c r="AB91" s="75"/>
    </row>
    <row r="92" spans="1:28" ht="22.8">
      <c r="A92" s="6" t="str">
        <f>VLOOKUP(D92,[2]Service!$B$15:$H$114,7,FALSE)</f>
        <v>Elysian+WMPL</v>
      </c>
      <c r="B92" s="103" t="str">
        <f t="shared" si="4"/>
        <v>Wheelocity Motors Pvt Ltd + Elysian Automobile Pvt. Ltd.3850</v>
      </c>
      <c r="C92" s="29" t="s">
        <v>758</v>
      </c>
      <c r="D92" s="5">
        <v>20292</v>
      </c>
      <c r="E92" s="5">
        <v>3850</v>
      </c>
      <c r="F92" s="3" t="s">
        <v>197</v>
      </c>
      <c r="G92" s="3" t="s">
        <v>324</v>
      </c>
      <c r="H92" s="3" t="str">
        <f>VLOOKUP($D92,[3]Service!$B$4:$F$99,5,FALSE)</f>
        <v>Jammu</v>
      </c>
      <c r="I92" s="3" t="s">
        <v>466</v>
      </c>
      <c r="J92" s="9">
        <v>0</v>
      </c>
      <c r="K92" s="9">
        <v>0</v>
      </c>
      <c r="L92" s="9">
        <v>100</v>
      </c>
      <c r="M92" s="9">
        <v>60</v>
      </c>
      <c r="N92" s="9">
        <v>0</v>
      </c>
      <c r="O92" s="9">
        <v>0</v>
      </c>
      <c r="P92" s="9">
        <f t="shared" si="7"/>
        <v>0</v>
      </c>
      <c r="Q92" s="18">
        <v>1</v>
      </c>
      <c r="R92" s="116">
        <v>4.7</v>
      </c>
      <c r="S92" s="19" t="str">
        <f t="shared" si="5"/>
        <v>20292 (100%)</v>
      </c>
      <c r="T92" s="9">
        <f t="shared" si="6"/>
        <v>0</v>
      </c>
      <c r="U92" s="9" t="s">
        <v>1043</v>
      </c>
      <c r="V92" s="9" t="s">
        <v>1044</v>
      </c>
      <c r="W92" s="9" t="s">
        <v>1041</v>
      </c>
      <c r="X92" s="18">
        <v>0.58333333333333337</v>
      </c>
      <c r="Y92" s="18">
        <v>1.0194171124260358</v>
      </c>
      <c r="Z92" s="18"/>
      <c r="AA92" s="18"/>
      <c r="AB92" s="75"/>
    </row>
    <row r="93" spans="1:28">
      <c r="A93" s="6" t="str">
        <f>VLOOKUP(D93,[2]Service!$B$15:$H$114,7,FALSE)</f>
        <v>Dhone</v>
      </c>
      <c r="B93" s="103" t="str">
        <f t="shared" si="4"/>
        <v>Dhone Mobility Pvt. Ltd.2398</v>
      </c>
      <c r="C93" s="103" t="s">
        <v>697</v>
      </c>
      <c r="D93" s="5">
        <v>20406</v>
      </c>
      <c r="E93" s="5">
        <v>2398</v>
      </c>
      <c r="F93" s="3" t="s">
        <v>889</v>
      </c>
      <c r="G93" s="3" t="s">
        <v>703</v>
      </c>
      <c r="H93" s="3" t="s">
        <v>208</v>
      </c>
      <c r="I93" s="3"/>
      <c r="J93" s="9">
        <v>0</v>
      </c>
      <c r="K93" s="9">
        <v>40</v>
      </c>
      <c r="L93" s="9">
        <v>0</v>
      </c>
      <c r="M93" s="9">
        <v>0</v>
      </c>
      <c r="N93" s="9">
        <v>60</v>
      </c>
      <c r="O93" s="9">
        <v>0</v>
      </c>
      <c r="P93" s="9">
        <f t="shared" si="7"/>
        <v>100</v>
      </c>
      <c r="Q93" s="18">
        <v>1</v>
      </c>
      <c r="R93" s="116">
        <v>4.9000000000000004</v>
      </c>
      <c r="S93" s="19" t="str">
        <f t="shared" si="5"/>
        <v>20406 (100%)</v>
      </c>
      <c r="T93" s="9">
        <f t="shared" si="6"/>
        <v>100</v>
      </c>
      <c r="U93" s="9" t="s">
        <v>1039</v>
      </c>
      <c r="V93" s="9" t="s">
        <v>1044</v>
      </c>
      <c r="W93" s="9" t="s">
        <v>1041</v>
      </c>
      <c r="X93" s="18">
        <v>1.223529411764706</v>
      </c>
      <c r="Y93" s="18">
        <v>1.6744146882352946</v>
      </c>
      <c r="Z93" s="18"/>
      <c r="AA93" s="18"/>
      <c r="AB93" s="75"/>
    </row>
    <row r="94" spans="1:28">
      <c r="A94" s="6" t="str">
        <f>VLOOKUP(D94,[2]Service!$B$15:$H$114,7,FALSE)</f>
        <v>Empreo</v>
      </c>
      <c r="B94" s="103" t="str">
        <f t="shared" si="4"/>
        <v>Empreo Allied Pvt. Ltd.1419</v>
      </c>
      <c r="C94" s="103" t="s">
        <v>68</v>
      </c>
      <c r="D94" s="5">
        <v>20400</v>
      </c>
      <c r="E94" s="5">
        <v>1419</v>
      </c>
      <c r="F94" s="3" t="s">
        <v>890</v>
      </c>
      <c r="G94" s="3" t="s">
        <v>726</v>
      </c>
      <c r="H94" s="3" t="s">
        <v>727</v>
      </c>
      <c r="I94" s="3"/>
      <c r="J94" s="9">
        <v>0</v>
      </c>
      <c r="K94" s="9">
        <v>50</v>
      </c>
      <c r="L94" s="9">
        <v>0</v>
      </c>
      <c r="M94" s="9">
        <v>0</v>
      </c>
      <c r="N94" s="9">
        <v>75</v>
      </c>
      <c r="O94" s="9">
        <v>80</v>
      </c>
      <c r="P94" s="9">
        <f t="shared" si="7"/>
        <v>0</v>
      </c>
      <c r="Q94" s="18">
        <v>1</v>
      </c>
      <c r="R94" s="116">
        <v>4.9000000000000004</v>
      </c>
      <c r="S94" s="19" t="str">
        <f t="shared" si="5"/>
        <v>20400 (100%)</v>
      </c>
      <c r="T94" s="9">
        <f t="shared" si="6"/>
        <v>0</v>
      </c>
      <c r="U94" s="9" t="s">
        <v>1039</v>
      </c>
      <c r="V94" s="9" t="s">
        <v>1044</v>
      </c>
      <c r="W94" s="9" t="s">
        <v>1041</v>
      </c>
      <c r="X94" s="18">
        <v>1.1230769230769231</v>
      </c>
      <c r="Y94" s="18">
        <v>0.68553813207547165</v>
      </c>
      <c r="Z94" s="18"/>
      <c r="AA94" s="18"/>
      <c r="AB94" s="75"/>
    </row>
    <row r="95" spans="1:28">
      <c r="A95" s="6" t="str">
        <f>VLOOKUP(D95,[2]Service!$B$15:$H$114,7,FALSE)</f>
        <v>Gurukrupa</v>
      </c>
      <c r="B95" s="103" t="str">
        <f t="shared" si="4"/>
        <v>Gurukrupa Cars Pvt. Ltd.4121</v>
      </c>
      <c r="C95" s="103" t="s">
        <v>698</v>
      </c>
      <c r="D95" s="5">
        <v>10405</v>
      </c>
      <c r="E95" s="5">
        <v>4121</v>
      </c>
      <c r="F95" s="3" t="s">
        <v>889</v>
      </c>
      <c r="G95" s="3" t="s">
        <v>710</v>
      </c>
      <c r="H95" s="3" t="s">
        <v>711</v>
      </c>
      <c r="I95" s="3"/>
      <c r="J95" s="9">
        <v>0</v>
      </c>
      <c r="K95" s="9">
        <v>0</v>
      </c>
      <c r="L95" s="9">
        <v>0</v>
      </c>
      <c r="M95" s="9">
        <v>0</v>
      </c>
      <c r="N95" s="9">
        <v>0</v>
      </c>
      <c r="O95" s="9">
        <v>0</v>
      </c>
      <c r="P95" s="9">
        <f t="shared" si="7"/>
        <v>0</v>
      </c>
      <c r="Q95" s="18">
        <v>1</v>
      </c>
      <c r="R95" s="116">
        <v>4.9000000000000004</v>
      </c>
      <c r="S95" s="19" t="str">
        <f t="shared" si="5"/>
        <v>10405 (100%)</v>
      </c>
      <c r="T95" s="9">
        <f t="shared" si="6"/>
        <v>0</v>
      </c>
      <c r="U95" s="9" t="s">
        <v>1039</v>
      </c>
      <c r="V95" s="9" t="s">
        <v>1044</v>
      </c>
      <c r="W95" s="9" t="s">
        <v>1040</v>
      </c>
      <c r="X95" s="18">
        <v>2.4615384615384617</v>
      </c>
      <c r="Y95" s="18">
        <v>1.3159245813953491</v>
      </c>
      <c r="Z95" s="18"/>
      <c r="AA95" s="18"/>
      <c r="AB95" s="75"/>
    </row>
    <row r="96" spans="1:28">
      <c r="A96" s="6" t="str">
        <f>VLOOKUP(D96,[2]Service!$B$15:$H$114,7,FALSE)</f>
        <v>Kanal</v>
      </c>
      <c r="B96" s="103" t="str">
        <f t="shared" si="4"/>
        <v>Kanal Vehicles LLP1672</v>
      </c>
      <c r="C96" s="103" t="s">
        <v>69</v>
      </c>
      <c r="D96" s="5">
        <v>10403</v>
      </c>
      <c r="E96" s="5">
        <v>1672</v>
      </c>
      <c r="F96" s="3" t="s">
        <v>890</v>
      </c>
      <c r="G96" s="3" t="s">
        <v>453</v>
      </c>
      <c r="H96" s="3" t="s">
        <v>454</v>
      </c>
      <c r="I96" s="3"/>
      <c r="J96" s="9">
        <v>0</v>
      </c>
      <c r="K96" s="9">
        <v>0</v>
      </c>
      <c r="L96" s="9">
        <v>0</v>
      </c>
      <c r="M96" s="9">
        <v>0</v>
      </c>
      <c r="N96" s="9">
        <v>60</v>
      </c>
      <c r="O96" s="9">
        <v>0</v>
      </c>
      <c r="P96" s="9">
        <f t="shared" si="7"/>
        <v>0</v>
      </c>
      <c r="Q96" s="18">
        <v>1</v>
      </c>
      <c r="R96" s="116">
        <v>5</v>
      </c>
      <c r="S96" s="19" t="str">
        <f t="shared" si="5"/>
        <v>10403 (100%)</v>
      </c>
      <c r="T96" s="9">
        <f t="shared" si="6"/>
        <v>0</v>
      </c>
      <c r="U96" s="9" t="s">
        <v>1039</v>
      </c>
      <c r="V96" s="9" t="s">
        <v>1044</v>
      </c>
      <c r="W96" s="9" t="s">
        <v>1040</v>
      </c>
      <c r="X96" s="18">
        <v>1.1875</v>
      </c>
      <c r="Y96" s="18">
        <v>0.69205616666666692</v>
      </c>
      <c r="Z96" s="18"/>
      <c r="AA96" s="18"/>
      <c r="AB96" s="75"/>
    </row>
    <row r="97" spans="1:28">
      <c r="A97" s="6" t="str">
        <f>VLOOKUP(D97,[2]Service!$B$15:$H$114,7,FALSE)</f>
        <v>PPS_TL</v>
      </c>
      <c r="B97" s="103" t="str">
        <f t="shared" si="4"/>
        <v>PPS Motors Pvt Ltd_TL3654</v>
      </c>
      <c r="C97" s="103" t="s">
        <v>65</v>
      </c>
      <c r="D97" s="5">
        <v>20413</v>
      </c>
      <c r="E97" s="5">
        <v>3654</v>
      </c>
      <c r="F97" s="3" t="s">
        <v>890</v>
      </c>
      <c r="G97" s="3" t="s">
        <v>728</v>
      </c>
      <c r="H97" s="3" t="s">
        <v>334</v>
      </c>
      <c r="I97" s="3"/>
      <c r="J97" s="9">
        <v>0</v>
      </c>
      <c r="K97" s="9">
        <v>0</v>
      </c>
      <c r="L97" s="9">
        <v>0</v>
      </c>
      <c r="M97" s="9">
        <v>75</v>
      </c>
      <c r="N97" s="9">
        <v>75</v>
      </c>
      <c r="O97" s="9">
        <v>0</v>
      </c>
      <c r="P97" s="9">
        <f t="shared" si="7"/>
        <v>0</v>
      </c>
      <c r="Q97" s="18">
        <v>0.192</v>
      </c>
      <c r="R97" s="116">
        <v>4.4000000000000004</v>
      </c>
      <c r="S97" s="19" t="str">
        <f t="shared" si="5"/>
        <v>20413 (19%)</v>
      </c>
      <c r="T97" s="9">
        <f t="shared" si="6"/>
        <v>0</v>
      </c>
      <c r="U97" s="9" t="s">
        <v>1043</v>
      </c>
      <c r="V97" s="9" t="s">
        <v>1045</v>
      </c>
      <c r="W97" s="9" t="s">
        <v>1042</v>
      </c>
      <c r="X97" s="18" t="s">
        <v>1066</v>
      </c>
      <c r="Y97" s="18">
        <v>1.3240997902713334</v>
      </c>
      <c r="Z97" s="18"/>
      <c r="AA97" s="18"/>
      <c r="AB97" s="75"/>
    </row>
    <row r="98" spans="1:28">
      <c r="A98" s="6" t="str">
        <f>VLOOKUP(D98,[2]Service!$B$15:$H$114,7,FALSE)</f>
        <v>SPL</v>
      </c>
      <c r="B98" s="103" t="str">
        <f t="shared" si="4"/>
        <v>(SPL) Sanwaria Automotive Pvt. Ltd1468</v>
      </c>
      <c r="C98" s="103" t="s">
        <v>741</v>
      </c>
      <c r="D98" s="5">
        <v>20418</v>
      </c>
      <c r="E98" s="5">
        <v>1468</v>
      </c>
      <c r="F98" s="3" t="s">
        <v>890</v>
      </c>
      <c r="G98" s="3" t="s">
        <v>744</v>
      </c>
      <c r="H98" s="3" t="s">
        <v>745</v>
      </c>
      <c r="I98" s="3"/>
      <c r="J98" s="9">
        <v>0</v>
      </c>
      <c r="K98" s="9">
        <v>0</v>
      </c>
      <c r="L98" s="9">
        <v>0</v>
      </c>
      <c r="M98" s="9">
        <v>75</v>
      </c>
      <c r="N98" s="9">
        <v>75</v>
      </c>
      <c r="O98" s="9">
        <v>80</v>
      </c>
      <c r="P98" s="9">
        <f t="shared" si="7"/>
        <v>0</v>
      </c>
      <c r="Q98" s="18">
        <v>1</v>
      </c>
      <c r="R98" s="116" t="s">
        <v>1063</v>
      </c>
      <c r="S98" s="19" t="str">
        <f t="shared" ref="S98:S100" si="8">_xlfn.CONCAT(D98," (",TEXT(Q98,"0%"),")")</f>
        <v>20418 (100%)</v>
      </c>
      <c r="T98" s="9">
        <f t="shared" si="6"/>
        <v>0</v>
      </c>
      <c r="U98" s="9" t="s">
        <v>1039</v>
      </c>
      <c r="V98" s="9" t="s">
        <v>1044</v>
      </c>
      <c r="W98" s="9" t="s">
        <v>1041</v>
      </c>
      <c r="X98" s="18">
        <v>0.9</v>
      </c>
      <c r="Y98" s="18">
        <v>0.6788932723214286</v>
      </c>
      <c r="Z98" s="18"/>
      <c r="AA98" s="18"/>
      <c r="AB98" s="75"/>
    </row>
    <row r="99" spans="1:28">
      <c r="A99" s="6" t="str">
        <f>VLOOKUP(D99,[2]Service!$B$15:$H$114,7,FALSE)</f>
        <v>Ramani</v>
      </c>
      <c r="B99" s="103" t="str">
        <f t="shared" si="4"/>
        <v>Ramani Automotive Excellence Pvt. Ltd.1938</v>
      </c>
      <c r="C99" s="103" t="s">
        <v>742</v>
      </c>
      <c r="D99" s="5">
        <v>20411</v>
      </c>
      <c r="E99" s="5">
        <v>1938</v>
      </c>
      <c r="F99" s="3" t="s">
        <v>890</v>
      </c>
      <c r="G99" s="3" t="s">
        <v>749</v>
      </c>
      <c r="H99" s="3" t="s">
        <v>217</v>
      </c>
      <c r="I99" s="3"/>
      <c r="J99" s="9">
        <v>0</v>
      </c>
      <c r="K99" s="9">
        <v>0</v>
      </c>
      <c r="L99" s="9">
        <v>100</v>
      </c>
      <c r="M99" s="9">
        <v>0</v>
      </c>
      <c r="N99" s="9">
        <v>60</v>
      </c>
      <c r="O99" s="9">
        <v>0</v>
      </c>
      <c r="P99" s="9">
        <f t="shared" si="7"/>
        <v>0</v>
      </c>
      <c r="Q99" s="18">
        <v>1</v>
      </c>
      <c r="R99" s="116">
        <v>4.9000000000000004</v>
      </c>
      <c r="S99" s="19" t="str">
        <f t="shared" si="8"/>
        <v>20411 (100%)</v>
      </c>
      <c r="T99" s="9">
        <f t="shared" si="6"/>
        <v>0</v>
      </c>
      <c r="U99" s="9" t="s">
        <v>1039</v>
      </c>
      <c r="V99" s="9" t="s">
        <v>1044</v>
      </c>
      <c r="W99" s="9" t="s">
        <v>1041</v>
      </c>
      <c r="X99" s="18">
        <v>3.6111111111111112</v>
      </c>
      <c r="Y99" s="18">
        <v>0.8940653767926986</v>
      </c>
      <c r="Z99" s="18"/>
      <c r="AA99" s="18"/>
      <c r="AB99" s="75"/>
    </row>
    <row r="100" spans="1:28">
      <c r="A100" s="6" t="s">
        <v>755</v>
      </c>
      <c r="B100" s="103" t="str">
        <f t="shared" si="4"/>
        <v>Shyam Sangam Automobiles Pvt Ltd2021</v>
      </c>
      <c r="C100" s="103" t="s">
        <v>743</v>
      </c>
      <c r="D100" s="5">
        <v>20415</v>
      </c>
      <c r="E100" s="5">
        <v>2021</v>
      </c>
      <c r="F100" s="3" t="s">
        <v>889</v>
      </c>
      <c r="G100" s="3" t="s">
        <v>1092</v>
      </c>
      <c r="H100" s="3" t="s">
        <v>376</v>
      </c>
      <c r="I100" s="3"/>
      <c r="J100" s="9">
        <v>0</v>
      </c>
      <c r="K100" s="9">
        <v>0</v>
      </c>
      <c r="L100" s="9">
        <v>0</v>
      </c>
      <c r="M100" s="9">
        <v>75</v>
      </c>
      <c r="N100" s="9">
        <v>75</v>
      </c>
      <c r="O100" s="9">
        <v>0</v>
      </c>
      <c r="P100" s="9">
        <f t="shared" si="7"/>
        <v>0</v>
      </c>
      <c r="Q100" s="18">
        <v>1</v>
      </c>
      <c r="R100" s="116">
        <v>5</v>
      </c>
      <c r="S100" s="19" t="str">
        <f t="shared" si="8"/>
        <v>20415 (100%)</v>
      </c>
      <c r="T100" s="9">
        <f t="shared" si="6"/>
        <v>0</v>
      </c>
      <c r="U100" s="9" t="s">
        <v>1039</v>
      </c>
      <c r="V100" s="9" t="s">
        <v>1044</v>
      </c>
      <c r="W100" s="9" t="s">
        <v>1041</v>
      </c>
      <c r="X100" s="18">
        <v>1.2105263157894737</v>
      </c>
      <c r="Y100" s="18">
        <v>0.82703480597014911</v>
      </c>
      <c r="Z100" s="18"/>
      <c r="AA100" s="18"/>
      <c r="AB100" s="75"/>
    </row>
    <row r="101" spans="1:28">
      <c r="A101" s="109" t="s">
        <v>878</v>
      </c>
      <c r="B101" s="110" t="str">
        <f t="shared" si="4"/>
        <v>N.K. Motocorp Private Limited2706</v>
      </c>
      <c r="C101" s="110" t="s">
        <v>877</v>
      </c>
      <c r="D101" s="111" t="s">
        <v>729</v>
      </c>
      <c r="E101" s="111">
        <v>2706</v>
      </c>
      <c r="F101" s="112"/>
      <c r="G101" s="112"/>
      <c r="H101" s="112"/>
      <c r="I101" s="112"/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9">
        <f t="shared" si="7"/>
        <v>0</v>
      </c>
      <c r="Q101" s="112">
        <v>0</v>
      </c>
      <c r="R101" s="112">
        <v>0</v>
      </c>
      <c r="S101" s="115" t="str">
        <f t="shared" si="5"/>
        <v>No Service (0%)</v>
      </c>
      <c r="T101" s="113">
        <f t="shared" si="6"/>
        <v>0</v>
      </c>
      <c r="U101" s="113" t="s">
        <v>1039</v>
      </c>
      <c r="V101" s="113"/>
      <c r="W101" s="113"/>
      <c r="X101" s="114"/>
      <c r="Y101" s="114"/>
      <c r="Z101" s="114"/>
      <c r="AA101" s="114"/>
      <c r="AB101" s="114"/>
    </row>
    <row r="102" spans="1:28">
      <c r="A102" s="109" t="s">
        <v>883</v>
      </c>
      <c r="B102" s="110" t="str">
        <f t="shared" ref="B102" si="9">_xlfn.CONCAT(C102,E102)</f>
        <v>Dunac Autoworld Private Limited2003</v>
      </c>
      <c r="C102" s="110" t="s">
        <v>884</v>
      </c>
      <c r="D102" s="111" t="s">
        <v>729</v>
      </c>
      <c r="E102" s="111">
        <v>2003</v>
      </c>
      <c r="F102" s="112"/>
      <c r="G102" s="112"/>
      <c r="H102" s="112"/>
      <c r="I102" s="112"/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9">
        <f t="shared" si="7"/>
        <v>0</v>
      </c>
      <c r="Q102" s="112">
        <v>0</v>
      </c>
      <c r="R102" s="112">
        <v>0</v>
      </c>
      <c r="S102" s="115" t="str">
        <f t="shared" ref="S102" si="10">_xlfn.CONCAT(D102," (",TEXT(Q102,"0%"),")")</f>
        <v>No Service (0%)</v>
      </c>
      <c r="T102" s="113">
        <f t="shared" ref="T102" si="11">ROUND(P102*Q102,0)</f>
        <v>0</v>
      </c>
      <c r="U102" s="113" t="s">
        <v>1039</v>
      </c>
      <c r="V102" s="113"/>
      <c r="W102" s="113"/>
      <c r="X102" s="114"/>
      <c r="Y102" s="114"/>
      <c r="Z102" s="114"/>
      <c r="AA102" s="114"/>
      <c r="AB102" s="114"/>
    </row>
    <row r="103" spans="1:28">
      <c r="A103" s="6" t="s">
        <v>734</v>
      </c>
      <c r="B103" s="103" t="str">
        <f t="shared" si="4"/>
        <v>Karr Motor Ventures Pvt. Ltd1998</v>
      </c>
      <c r="C103" s="103" t="s">
        <v>699</v>
      </c>
      <c r="D103" s="5">
        <v>20410</v>
      </c>
      <c r="E103" s="5">
        <v>1998</v>
      </c>
      <c r="F103" s="3" t="s">
        <v>890</v>
      </c>
      <c r="G103" s="3" t="s">
        <v>1093</v>
      </c>
      <c r="H103" s="3" t="s">
        <v>357</v>
      </c>
      <c r="I103" s="3"/>
      <c r="J103" s="9">
        <v>0</v>
      </c>
      <c r="K103" s="9">
        <v>0</v>
      </c>
      <c r="L103" s="9">
        <v>0</v>
      </c>
      <c r="M103" s="9">
        <v>75</v>
      </c>
      <c r="N103" s="9">
        <v>75</v>
      </c>
      <c r="O103" s="9">
        <v>0</v>
      </c>
      <c r="P103" s="9">
        <f t="shared" si="7"/>
        <v>150</v>
      </c>
      <c r="Q103" s="18">
        <v>1</v>
      </c>
      <c r="R103" s="116">
        <v>5</v>
      </c>
      <c r="S103" s="19" t="str">
        <f t="shared" si="5"/>
        <v>20410 (100%)</v>
      </c>
      <c r="T103" s="9">
        <f t="shared" si="6"/>
        <v>150</v>
      </c>
      <c r="U103" s="9" t="s">
        <v>1039</v>
      </c>
      <c r="V103" s="9" t="s">
        <v>1044</v>
      </c>
      <c r="W103" s="9" t="s">
        <v>1041</v>
      </c>
      <c r="X103" s="18">
        <v>2.8</v>
      </c>
      <c r="Y103" s="18">
        <v>1.0529460405405404</v>
      </c>
      <c r="Z103" s="18"/>
      <c r="AA103" s="18"/>
      <c r="AB103" s="75"/>
    </row>
    <row r="104" spans="1:28">
      <c r="A104" s="6" t="s">
        <v>837</v>
      </c>
      <c r="B104" s="103" t="str">
        <f t="shared" si="4"/>
        <v>KNS Vinayak Autoventures Pvt Ltd5957</v>
      </c>
      <c r="C104" s="105" t="str">
        <f>VLOOKUP(D104,Sheet2!$J$3:$K$321,2,FALSE)</f>
        <v>KNS Vinayak Autoventures Pvt Ltd</v>
      </c>
      <c r="D104" s="5">
        <v>10419</v>
      </c>
      <c r="E104" s="5">
        <v>5957</v>
      </c>
      <c r="F104" s="3" t="s">
        <v>889</v>
      </c>
      <c r="G104" s="3" t="s">
        <v>1021</v>
      </c>
      <c r="H104" s="3" t="s">
        <v>1022</v>
      </c>
      <c r="I104" s="3"/>
      <c r="J104" s="9">
        <v>0</v>
      </c>
      <c r="K104" s="9">
        <v>40</v>
      </c>
      <c r="L104" s="9">
        <v>0</v>
      </c>
      <c r="M104" s="9">
        <v>0</v>
      </c>
      <c r="N104" s="9">
        <v>60</v>
      </c>
      <c r="O104" s="9">
        <v>80</v>
      </c>
      <c r="P104" s="9">
        <f t="shared" si="7"/>
        <v>180</v>
      </c>
      <c r="Q104" s="18">
        <v>1</v>
      </c>
      <c r="R104" s="116">
        <v>4.8</v>
      </c>
      <c r="S104" s="19" t="str">
        <f t="shared" ref="S104:S110" si="12">_xlfn.CONCAT(D104," (",TEXT(Q104,"0%"),")")</f>
        <v>10419 (100%)</v>
      </c>
      <c r="T104" s="9">
        <f t="shared" ref="T104:T110" si="13">ROUND(P104*Q104,0)</f>
        <v>180</v>
      </c>
      <c r="U104" s="9" t="s">
        <v>1039</v>
      </c>
      <c r="V104" s="9" t="s">
        <v>1044</v>
      </c>
      <c r="W104" s="9" t="s">
        <v>1040</v>
      </c>
      <c r="X104" s="18">
        <v>1.1162790697674418</v>
      </c>
      <c r="Y104" s="18">
        <v>1.7589711269841271</v>
      </c>
      <c r="Z104" s="18"/>
      <c r="AA104" s="18"/>
      <c r="AB104" s="75"/>
    </row>
    <row r="105" spans="1:28">
      <c r="A105" s="6" t="s">
        <v>736</v>
      </c>
      <c r="B105" s="103" t="str">
        <f t="shared" si="4"/>
        <v>Malwa Motor Sales Pvt. Ltd.1879</v>
      </c>
      <c r="C105" s="105" t="s">
        <v>700</v>
      </c>
      <c r="D105" s="5">
        <v>20395</v>
      </c>
      <c r="E105" s="5">
        <v>1879</v>
      </c>
      <c r="F105" s="3" t="s">
        <v>889</v>
      </c>
      <c r="G105" s="3" t="s">
        <v>903</v>
      </c>
      <c r="H105" s="3" t="s">
        <v>717</v>
      </c>
      <c r="I105" s="3"/>
      <c r="J105" s="9">
        <v>0</v>
      </c>
      <c r="K105" s="9">
        <v>0</v>
      </c>
      <c r="L105" s="9">
        <v>0</v>
      </c>
      <c r="M105" s="9">
        <v>0</v>
      </c>
      <c r="N105" s="9">
        <v>0</v>
      </c>
      <c r="O105" s="9">
        <v>0</v>
      </c>
      <c r="P105" s="9">
        <f t="shared" si="7"/>
        <v>0</v>
      </c>
      <c r="Q105" s="18">
        <v>1</v>
      </c>
      <c r="R105" s="116">
        <v>4.7</v>
      </c>
      <c r="S105" s="19" t="str">
        <f t="shared" si="12"/>
        <v>20395 (100%)</v>
      </c>
      <c r="T105" s="9">
        <f t="shared" si="13"/>
        <v>0</v>
      </c>
      <c r="U105" s="9" t="s">
        <v>1039</v>
      </c>
      <c r="V105" s="9" t="s">
        <v>1045</v>
      </c>
      <c r="W105" s="9" t="s">
        <v>1042</v>
      </c>
      <c r="X105" s="18" t="s">
        <v>1066</v>
      </c>
      <c r="Y105" s="18">
        <v>2.1293773548387085</v>
      </c>
      <c r="Z105" s="18"/>
      <c r="AA105" s="18"/>
      <c r="AB105" s="75"/>
    </row>
    <row r="106" spans="1:28">
      <c r="A106" s="6" t="s">
        <v>617</v>
      </c>
      <c r="B106" s="103" t="str">
        <f t="shared" si="4"/>
        <v>Berk Autozone LLP1221</v>
      </c>
      <c r="C106" s="105" t="s">
        <v>7</v>
      </c>
      <c r="D106" s="5">
        <v>20398</v>
      </c>
      <c r="E106" s="5">
        <v>1221</v>
      </c>
      <c r="F106" s="3" t="s">
        <v>889</v>
      </c>
      <c r="G106" s="3" t="s">
        <v>1016</v>
      </c>
      <c r="H106" s="3" t="s">
        <v>1017</v>
      </c>
      <c r="I106" s="3"/>
      <c r="J106" s="9">
        <v>0</v>
      </c>
      <c r="K106" s="9">
        <v>0</v>
      </c>
      <c r="L106" s="9">
        <v>0</v>
      </c>
      <c r="M106" s="9">
        <v>75</v>
      </c>
      <c r="N106" s="9">
        <v>0</v>
      </c>
      <c r="O106" s="9">
        <v>0</v>
      </c>
      <c r="P106" s="9">
        <f t="shared" si="7"/>
        <v>0</v>
      </c>
      <c r="Q106" s="18">
        <v>0.452191235059761</v>
      </c>
      <c r="R106" s="116">
        <v>4.5999999999999996</v>
      </c>
      <c r="S106" s="19" t="str">
        <f t="shared" si="12"/>
        <v>20398 (45%)</v>
      </c>
      <c r="T106" s="9">
        <f t="shared" si="13"/>
        <v>0</v>
      </c>
      <c r="U106" s="9" t="s">
        <v>1043</v>
      </c>
      <c r="V106" s="9" t="s">
        <v>1045</v>
      </c>
      <c r="W106" s="9" t="s">
        <v>1042</v>
      </c>
      <c r="X106" s="18" t="s">
        <v>1066</v>
      </c>
      <c r="Y106" s="18">
        <v>0.66371659163346663</v>
      </c>
      <c r="Z106" s="18"/>
      <c r="AA106" s="18"/>
      <c r="AB106" s="75"/>
    </row>
    <row r="107" spans="1:28">
      <c r="A107" s="6" t="s">
        <v>1046</v>
      </c>
      <c r="B107" s="103" t="s">
        <v>691</v>
      </c>
      <c r="C107" s="105" t="s">
        <v>690</v>
      </c>
      <c r="D107" s="5">
        <v>20409</v>
      </c>
      <c r="E107" s="5">
        <v>3783</v>
      </c>
      <c r="F107" s="3" t="s">
        <v>889</v>
      </c>
      <c r="G107" s="3" t="s">
        <v>701</v>
      </c>
      <c r="H107" s="3" t="s">
        <v>702</v>
      </c>
      <c r="I107" s="3"/>
      <c r="J107" s="9">
        <v>80</v>
      </c>
      <c r="K107" s="9">
        <v>50</v>
      </c>
      <c r="L107" s="9">
        <v>80</v>
      </c>
      <c r="M107" s="9">
        <v>75</v>
      </c>
      <c r="N107" s="9">
        <v>0</v>
      </c>
      <c r="O107" s="9">
        <v>100</v>
      </c>
      <c r="P107" s="9">
        <f t="shared" si="7"/>
        <v>0</v>
      </c>
      <c r="Q107" s="18">
        <v>1</v>
      </c>
      <c r="R107" s="116">
        <v>4.7</v>
      </c>
      <c r="S107" s="19" t="str">
        <f t="shared" si="12"/>
        <v>20409 (100%)</v>
      </c>
      <c r="T107" s="9">
        <f t="shared" si="13"/>
        <v>0</v>
      </c>
      <c r="U107" s="9" t="s">
        <v>1043</v>
      </c>
      <c r="V107" s="9" t="s">
        <v>1044</v>
      </c>
      <c r="W107" s="9" t="s">
        <v>1041</v>
      </c>
      <c r="X107" s="18">
        <v>0.66666666666666663</v>
      </c>
      <c r="Y107" s="18">
        <v>1.0035244702702708</v>
      </c>
      <c r="Z107" s="18"/>
      <c r="AA107" s="18"/>
      <c r="AB107" s="75"/>
    </row>
    <row r="108" spans="1:28">
      <c r="A108" s="6" t="s">
        <v>633</v>
      </c>
      <c r="B108" s="103" t="str">
        <f t="shared" ref="B108:B110" si="14">_xlfn.CONCAT(C108,E108)</f>
        <v>Gurudev Motors Pvt. Ltd1453</v>
      </c>
      <c r="C108" s="105" t="s">
        <v>23</v>
      </c>
      <c r="D108" s="5">
        <v>20421</v>
      </c>
      <c r="E108" s="5">
        <v>1453</v>
      </c>
      <c r="F108" s="3" t="s">
        <v>890</v>
      </c>
      <c r="G108" s="3" t="s">
        <v>1094</v>
      </c>
      <c r="H108" s="3" t="s">
        <v>290</v>
      </c>
      <c r="I108" s="3"/>
      <c r="J108" s="9">
        <v>100</v>
      </c>
      <c r="K108" s="9">
        <v>40</v>
      </c>
      <c r="L108" s="9">
        <v>80</v>
      </c>
      <c r="M108" s="9">
        <v>75</v>
      </c>
      <c r="N108" s="9">
        <v>60</v>
      </c>
      <c r="O108" s="9">
        <v>80</v>
      </c>
      <c r="P108" s="9">
        <f t="shared" si="7"/>
        <v>435</v>
      </c>
      <c r="Q108" s="18">
        <v>0</v>
      </c>
      <c r="R108" s="116" t="s">
        <v>1063</v>
      </c>
      <c r="S108" s="19" t="str">
        <f t="shared" si="12"/>
        <v>20421 (0%)</v>
      </c>
      <c r="T108" s="9">
        <f t="shared" si="13"/>
        <v>0</v>
      </c>
      <c r="U108" s="9" t="s">
        <v>1043</v>
      </c>
      <c r="V108" s="9" t="s">
        <v>1045</v>
      </c>
      <c r="W108" s="9" t="s">
        <v>1096</v>
      </c>
      <c r="X108" s="18" t="s">
        <v>1066</v>
      </c>
      <c r="Y108" s="18">
        <v>0.90835819661190953</v>
      </c>
      <c r="Z108" s="18"/>
      <c r="AA108" s="18"/>
      <c r="AB108" s="75"/>
    </row>
    <row r="109" spans="1:28">
      <c r="A109" s="6" t="s">
        <v>1091</v>
      </c>
      <c r="B109" s="103" t="str">
        <f t="shared" si="14"/>
        <v>Krown Mobility Private Limited1102</v>
      </c>
      <c r="C109" s="105" t="s">
        <v>1069</v>
      </c>
      <c r="D109" s="5">
        <v>10424</v>
      </c>
      <c r="E109" s="5">
        <v>1102</v>
      </c>
      <c r="F109" s="3" t="s">
        <v>889</v>
      </c>
      <c r="G109" s="3" t="s">
        <v>1095</v>
      </c>
      <c r="H109" s="3" t="s">
        <v>1078</v>
      </c>
      <c r="I109" s="3"/>
      <c r="J109" s="9">
        <v>0</v>
      </c>
      <c r="K109" s="9">
        <v>0</v>
      </c>
      <c r="L109" s="9">
        <v>0</v>
      </c>
      <c r="M109" s="9">
        <v>0</v>
      </c>
      <c r="N109" s="9">
        <v>75</v>
      </c>
      <c r="O109" s="9">
        <v>0</v>
      </c>
      <c r="P109" s="9">
        <f t="shared" si="7"/>
        <v>75</v>
      </c>
      <c r="Q109" s="18">
        <v>1</v>
      </c>
      <c r="R109" s="116" t="s">
        <v>1063</v>
      </c>
      <c r="S109" s="19" t="str">
        <f t="shared" si="12"/>
        <v>10424 (100%)</v>
      </c>
      <c r="T109" s="9">
        <f t="shared" si="13"/>
        <v>75</v>
      </c>
      <c r="U109" s="9" t="s">
        <v>1039</v>
      </c>
      <c r="V109" s="9" t="s">
        <v>1044</v>
      </c>
      <c r="W109" s="9" t="s">
        <v>1041</v>
      </c>
      <c r="X109" s="18">
        <v>1.588235294117647</v>
      </c>
      <c r="Y109" s="18">
        <v>1</v>
      </c>
      <c r="Z109" s="18"/>
      <c r="AA109" s="18"/>
      <c r="AB109" s="75"/>
    </row>
    <row r="110" spans="1:28">
      <c r="A110" s="6" t="s">
        <v>670</v>
      </c>
      <c r="B110" s="103" t="str">
        <f t="shared" si="14"/>
        <v>Speedworks Auto Private Limited3225</v>
      </c>
      <c r="C110" s="105" t="s">
        <v>51</v>
      </c>
      <c r="D110" s="5">
        <v>20412</v>
      </c>
      <c r="E110" s="5">
        <v>3225</v>
      </c>
      <c r="F110" s="3" t="s">
        <v>890</v>
      </c>
      <c r="G110" s="3" t="s">
        <v>998</v>
      </c>
      <c r="H110" s="3" t="s">
        <v>407</v>
      </c>
      <c r="I110" s="3"/>
      <c r="J110" s="9">
        <v>80</v>
      </c>
      <c r="K110" s="9">
        <v>50</v>
      </c>
      <c r="L110" s="9">
        <v>0</v>
      </c>
      <c r="M110" s="9">
        <v>75</v>
      </c>
      <c r="N110" s="9">
        <v>75</v>
      </c>
      <c r="O110" s="9">
        <v>100</v>
      </c>
      <c r="P110" s="9">
        <f t="shared" si="7"/>
        <v>380</v>
      </c>
      <c r="Q110" s="18">
        <v>0.63861386138613863</v>
      </c>
      <c r="R110" s="116">
        <v>4.9000000000000004</v>
      </c>
      <c r="S110" s="19" t="str">
        <f t="shared" si="12"/>
        <v>20412 (64%)</v>
      </c>
      <c r="T110" s="9">
        <f t="shared" si="13"/>
        <v>243</v>
      </c>
      <c r="U110" s="9" t="s">
        <v>1043</v>
      </c>
      <c r="V110" s="9" t="s">
        <v>1045</v>
      </c>
      <c r="W110" s="9" t="s">
        <v>1042</v>
      </c>
      <c r="X110" s="18" t="s">
        <v>1066</v>
      </c>
      <c r="Y110" s="18">
        <v>1.0234260709570948</v>
      </c>
      <c r="Z110" s="18"/>
      <c r="AA110" s="18"/>
      <c r="AB110" s="75"/>
    </row>
    <row r="111" spans="1:28">
      <c r="A111" s="6" t="s">
        <v>587</v>
      </c>
      <c r="B111" s="6" t="s">
        <v>586</v>
      </c>
      <c r="C111" s="6" t="s">
        <v>587</v>
      </c>
      <c r="D111" s="5" t="s">
        <v>587</v>
      </c>
      <c r="E111" s="6" t="s">
        <v>587</v>
      </c>
      <c r="F111" s="6" t="s">
        <v>587</v>
      </c>
      <c r="G111" s="6" t="s">
        <v>587</v>
      </c>
      <c r="H111" s="6" t="s">
        <v>587</v>
      </c>
      <c r="I111" s="6" t="s">
        <v>587</v>
      </c>
      <c r="J111" s="6" t="s">
        <v>587</v>
      </c>
      <c r="K111" s="6" t="s">
        <v>587</v>
      </c>
      <c r="L111" s="6" t="s">
        <v>587</v>
      </c>
      <c r="M111" s="6" t="s">
        <v>587</v>
      </c>
      <c r="N111" s="6" t="s">
        <v>587</v>
      </c>
      <c r="O111" s="6" t="s">
        <v>587</v>
      </c>
      <c r="P111" s="9">
        <f t="shared" si="7"/>
        <v>0</v>
      </c>
      <c r="Q111" s="18" t="s">
        <v>587</v>
      </c>
      <c r="R111" s="19" t="s">
        <v>587</v>
      </c>
      <c r="S111" s="6" t="s">
        <v>587</v>
      </c>
      <c r="T111" s="9" t="s">
        <v>587</v>
      </c>
      <c r="U111" s="9" t="s">
        <v>587</v>
      </c>
      <c r="V111" s="9" t="s">
        <v>587</v>
      </c>
      <c r="W111" s="9" t="s">
        <v>587</v>
      </c>
      <c r="X111" s="9" t="s">
        <v>587</v>
      </c>
      <c r="Y111" s="18" t="s">
        <v>587</v>
      </c>
      <c r="Z111" s="18" t="s">
        <v>587</v>
      </c>
      <c r="AA111" s="75" t="s">
        <v>587</v>
      </c>
      <c r="AB111" s="75" t="s">
        <v>587</v>
      </c>
    </row>
  </sheetData>
  <autoFilter ref="A2:AA215" xr:uid="{265092BC-33B6-4FDC-82FF-1A3971430C56}"/>
  <conditionalFormatting sqref="D2:E2">
    <cfRule type="duplicateValues" dxfId="152" priority="85"/>
  </conditionalFormatting>
  <conditionalFormatting sqref="D216:D1048576 D111 D1:D104">
    <cfRule type="duplicateValues" dxfId="151" priority="48"/>
  </conditionalFormatting>
  <conditionalFormatting sqref="C92">
    <cfRule type="duplicateValues" dxfId="150" priority="46"/>
  </conditionalFormatting>
  <conditionalFormatting sqref="C92">
    <cfRule type="duplicateValues" dxfId="149" priority="47"/>
  </conditionalFormatting>
  <conditionalFormatting sqref="D216:D1048576">
    <cfRule type="duplicateValues" dxfId="148" priority="40"/>
  </conditionalFormatting>
  <conditionalFormatting sqref="D111 D3:D104">
    <cfRule type="duplicateValues" dxfId="147" priority="171"/>
  </conditionalFormatting>
  <conditionalFormatting sqref="D215:D1048576 D1:D107 D111">
    <cfRule type="duplicateValues" dxfId="146" priority="19"/>
  </conditionalFormatting>
  <conditionalFormatting sqref="D107">
    <cfRule type="duplicateValues" dxfId="145" priority="17"/>
  </conditionalFormatting>
  <conditionalFormatting sqref="D107">
    <cfRule type="duplicateValues" dxfId="144" priority="18"/>
  </conditionalFormatting>
  <conditionalFormatting sqref="D3:D104">
    <cfRule type="duplicateValues" dxfId="143" priority="177"/>
  </conditionalFormatting>
  <conditionalFormatting sqref="D109:D110">
    <cfRule type="duplicateValues" dxfId="142" priority="12"/>
  </conditionalFormatting>
  <conditionalFormatting sqref="D109:D110">
    <cfRule type="duplicateValues" dxfId="141" priority="10"/>
  </conditionalFormatting>
  <conditionalFormatting sqref="D109:D110">
    <cfRule type="duplicateValues" dxfId="140" priority="11"/>
  </conditionalFormatting>
  <conditionalFormatting sqref="D109:D110">
    <cfRule type="duplicateValues" dxfId="139" priority="9"/>
  </conditionalFormatting>
  <conditionalFormatting sqref="D108">
    <cfRule type="duplicateValues" dxfId="138" priority="4"/>
  </conditionalFormatting>
  <conditionalFormatting sqref="D108">
    <cfRule type="duplicateValues" dxfId="137" priority="2"/>
  </conditionalFormatting>
  <conditionalFormatting sqref="D108">
    <cfRule type="duplicateValues" dxfId="136" priority="3"/>
  </conditionalFormatting>
  <conditionalFormatting sqref="D108">
    <cfRule type="duplicateValues" dxfId="135" priority="1"/>
  </conditionalFormatting>
  <pageMargins left="0.7" right="0.7" top="0.75" bottom="0.75" header="0.3" footer="0.3"/>
  <headerFooter>
    <oddHeader>&amp;L&amp;"Arial"&amp;8&amp;K000000 INTERNAL&amp;1#_x000D_</oddHead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4BD3F-BAED-4F47-837D-585F6C467CF3}">
  <sheetPr codeName="Sheet7"/>
  <dimension ref="B1:N46"/>
  <sheetViews>
    <sheetView showGridLines="0" topLeftCell="A25" zoomScale="80" zoomScaleNormal="80" workbookViewId="0">
      <selection activeCell="C6" sqref="C6:M6"/>
    </sheetView>
  </sheetViews>
  <sheetFormatPr defaultRowHeight="13.8"/>
  <cols>
    <col min="1" max="1" width="5.09765625" customWidth="1"/>
    <col min="2" max="2" width="28.296875" bestFit="1" customWidth="1"/>
    <col min="3" max="3" width="40.69921875" bestFit="1" customWidth="1"/>
    <col min="4" max="4" width="18.69921875" customWidth="1"/>
    <col min="5" max="9" width="15.5" customWidth="1"/>
    <col min="10" max="10" width="11.796875" customWidth="1"/>
    <col min="11" max="13" width="15.5" customWidth="1"/>
  </cols>
  <sheetData>
    <row r="1" spans="2:14">
      <c r="C1" t="str">
        <f>Pivot_Master!B2</f>
        <v>Gurudev Motors Pvt. Ltd1453</v>
      </c>
      <c r="D1" s="1" t="str">
        <f>VLOOKUP(C1,'Investor Master Data'!$C$4:$Q$81,15,FALSE)</f>
        <v>Old Investor</v>
      </c>
    </row>
    <row r="2" spans="2:14">
      <c r="C2" s="48" t="str">
        <f>IFERROR(VLOOKUP(C7,Main_Data_Sales!$D$2:$W$261,19,FALSE),"")</f>
        <v>3S</v>
      </c>
      <c r="D2" s="48" t="str">
        <f>IFERROR(VLOOKUP(D7,Main_Data_Sales!$D$2:$W$261,19,FALSE),"")</f>
        <v>3S</v>
      </c>
      <c r="E2" s="48" t="str">
        <f>IFERROR(VLOOKUP(E7,Main_Data_Sales!$D$2:$W$261,19,FALSE),"")</f>
        <v>3S</v>
      </c>
      <c r="F2" s="48" t="str">
        <f>IFERROR(VLOOKUP(F7,Main_Data_Sales!$D$2:$W$261,19,FALSE),"")</f>
        <v>3S</v>
      </c>
      <c r="G2" s="48" t="str">
        <f>IFERROR(VLOOKUP(G7,Main_Data_Sales!$D$2:$W$261,19,FALSE),"")</f>
        <v>3S</v>
      </c>
      <c r="H2" s="48" t="str">
        <f>IFERROR(VLOOKUP(H7,Main_Data_Sales!$D$2:$W$261,19,FALSE),"")</f>
        <v>1S</v>
      </c>
      <c r="I2" s="48" t="str">
        <f>IFERROR(VLOOKUP(I7,Main_Data_Sales!$D$2:$W$261,19,FALSE),"")</f>
        <v>1S</v>
      </c>
      <c r="J2" s="48" t="str">
        <f>IFERROR(VLOOKUP(J7,Main_Data_Sales!$D$2:$W$261,19,FALSE),"")</f>
        <v/>
      </c>
      <c r="K2" s="48" t="str">
        <f>IFERROR(VLOOKUP(K7,Main_Data_Sales!$D$2:$W$261,19,FALSE),"")</f>
        <v/>
      </c>
      <c r="L2" s="48" t="str">
        <f>IFERROR(VLOOKUP(L7,Main_Data_Sales!$D$2:$W$261,19,FALSE),"")</f>
        <v/>
      </c>
      <c r="M2" s="48" t="str">
        <f>IFERROR(VLOOKUP(M7,Main_Data_Sales!$D$2:$W$261,19,FALSE),"")</f>
        <v/>
      </c>
    </row>
    <row r="3" spans="2:14" ht="14.4" thickBot="1">
      <c r="B3" s="1" t="s">
        <v>1047</v>
      </c>
      <c r="C3" s="128">
        <f>IFERROR(VLOOKUP(C7,Main_Data_Sales!$D$3:$AB$261,23,FALSE),"")</f>
        <v>5</v>
      </c>
      <c r="D3" s="128">
        <f>IFERROR(VLOOKUP(D7,Main_Data_Sales!$D$3:$AB$261,23,FALSE),"")</f>
        <v>4.45</v>
      </c>
      <c r="E3" s="128">
        <f>IFERROR(VLOOKUP(E7,Main_Data_Sales!$D$3:$AB$261,23,FALSE),"")</f>
        <v>4.83</v>
      </c>
      <c r="F3" s="128">
        <f>IFERROR(VLOOKUP(F7,Main_Data_Sales!$D$3:$AB$261,23,FALSE),"")</f>
        <v>4.9000000000000004</v>
      </c>
      <c r="G3" s="128">
        <f>IFERROR(VLOOKUP(G7,Main_Data_Sales!$D$3:$AB$261,23,FALSE),"")</f>
        <v>5</v>
      </c>
      <c r="H3" s="128">
        <f>IFERROR(VLOOKUP(H7,Main_Data_Sales!$D$3:$AB$261,23,FALSE),"")</f>
        <v>4.67</v>
      </c>
      <c r="I3" s="128">
        <f>IFERROR(VLOOKUP(I7,Main_Data_Sales!$D$3:$AB$261,23,FALSE),"")</f>
        <v>4.75</v>
      </c>
      <c r="J3" s="128" t="str">
        <f>IFERROR(VLOOKUP(J7,Main_Data_Sales!$D$3:$AB$261,23,FALSE),"")</f>
        <v/>
      </c>
      <c r="K3" s="128" t="str">
        <f>IFERROR(VLOOKUP(K7,Main_Data_Sales!$D$3:$AB$261,23,FALSE),"")</f>
        <v/>
      </c>
      <c r="L3" s="128" t="str">
        <f>IFERROR(VLOOKUP(L7,Main_Data_Sales!$D$3:$AB$261,23,FALSE),"")</f>
        <v/>
      </c>
      <c r="M3" s="128" t="str">
        <f>IFERROR(VLOOKUP(M7,Main_Data_Sales!$D$3:$AB$261,23,FALSE),"")</f>
        <v/>
      </c>
    </row>
    <row r="4" spans="2:14" ht="21.6" thickBot="1">
      <c r="B4" s="160" t="s">
        <v>599</v>
      </c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2"/>
    </row>
    <row r="5" spans="2:14">
      <c r="B5" s="135" t="s">
        <v>880</v>
      </c>
      <c r="C5" s="136">
        <f>IFERROR(ROUND(VLOOKUP(C$7,Main_Data_Sales!$D$2:$R$261,ROW()+10,FALSE),2),"")</f>
        <v>4.5999999999999996</v>
      </c>
      <c r="D5" s="136">
        <f>IFERROR(ROUND(VLOOKUP(D$7,Main_Data_Sales!$D$2:$R$261,ROW()+10,FALSE),2),"")</f>
        <v>4.7</v>
      </c>
      <c r="E5" s="136">
        <f>IFERROR(ROUND(VLOOKUP(E$7,Main_Data_Sales!$D$2:$R$261,ROW()+10,FALSE),2),"")</f>
        <v>4.7</v>
      </c>
      <c r="F5" s="136">
        <f>IFERROR(ROUND(VLOOKUP(F$7,Main_Data_Sales!$D$2:$R$261,ROW()+10,FALSE),2),"")</f>
        <v>4.5999999999999996</v>
      </c>
      <c r="G5" s="136">
        <f>IFERROR(ROUND(VLOOKUP(G$7,Main_Data_Sales!$D$2:$R$261,ROW()+10,FALSE),2),"")</f>
        <v>4.8</v>
      </c>
      <c r="H5" s="136">
        <f>IFERROR(ROUND(VLOOKUP(H$7,Main_Data_Sales!$D$2:$R$261,ROW()+10,FALSE),2),"")</f>
        <v>4.8</v>
      </c>
      <c r="I5" s="136">
        <f>IFERROR(ROUND(VLOOKUP(I$7,Main_Data_Sales!$D$2:$R$261,ROW()+10,FALSE),2),"")</f>
        <v>4.8</v>
      </c>
      <c r="J5" s="136" t="str">
        <f>IFERROR(ROUND(VLOOKUP(J$7,Main_Data_Sales!$D$2:$R$261,ROW()+10,FALSE),2),"")</f>
        <v/>
      </c>
      <c r="K5" s="136" t="str">
        <f>IFERROR(ROUND(VLOOKUP(K$7,Main_Data_Sales!$D$2:$R$261,ROW()+10,FALSE),2),"")</f>
        <v/>
      </c>
      <c r="L5" s="136" t="str">
        <f>IFERROR(ROUND(VLOOKUP(L$7,Main_Data_Sales!$D$2:$R$261,ROW()+10,FALSE),2),"")</f>
        <v/>
      </c>
      <c r="M5" s="137" t="str">
        <f>IFERROR(ROUND(VLOOKUP(M$7,Main_Data_Sales!$D$2:$R$261,ROW()+10,FALSE),2),"")</f>
        <v/>
      </c>
    </row>
    <row r="6" spans="2:14" ht="14.4" thickBot="1">
      <c r="B6" s="138" t="s">
        <v>1088</v>
      </c>
      <c r="C6" s="139">
        <f>IFERROR(VLOOKUP(C7,Main_Data_Sales!$D$3:$Z$261,23,FALSE),"")</f>
        <v>5</v>
      </c>
      <c r="D6" s="139">
        <f>IFERROR(VLOOKUP(D7,Main_Data_Sales!$D$3:$Z$261,23,FALSE),"")</f>
        <v>4.45</v>
      </c>
      <c r="E6" s="139">
        <f>IFERROR(VLOOKUP(E7,Main_Data_Sales!$D$3:$Z$261,23,FALSE),"")</f>
        <v>4.83</v>
      </c>
      <c r="F6" s="139">
        <f>IFERROR(VLOOKUP(F7,Main_Data_Sales!$D$3:$Z$261,23,FALSE),"")</f>
        <v>4.9000000000000004</v>
      </c>
      <c r="G6" s="139">
        <f>IFERROR(VLOOKUP(G7,Main_Data_Sales!$D$3:$Z$261,23,FALSE),"")</f>
        <v>5</v>
      </c>
      <c r="H6" s="139">
        <f>IFERROR(VLOOKUP(H7,Main_Data_Sales!$D$3:$Z$261,23,FALSE),"")</f>
        <v>4.67</v>
      </c>
      <c r="I6" s="139">
        <f>IFERROR(VLOOKUP(I7,Main_Data_Sales!$D$3:$Z$261,23,FALSE),"")</f>
        <v>4.75</v>
      </c>
      <c r="J6" s="139" t="str">
        <f>IFERROR(VLOOKUP(J7,Main_Data_Sales!$D$3:$Z$261,23,FALSE),"")</f>
        <v/>
      </c>
      <c r="K6" s="139" t="str">
        <f>IFERROR(VLOOKUP(K7,Main_Data_Sales!$D$3:$Z$261,23,FALSE),"")</f>
        <v/>
      </c>
      <c r="L6" s="139" t="str">
        <f>IFERROR(VLOOKUP(L7,Main_Data_Sales!$D$3:$Z$261,23,FALSE),"")</f>
        <v/>
      </c>
      <c r="M6" s="140" t="str">
        <f>IFERROR(VLOOKUP(M7,Main_Data_Sales!$D$3:$Z$261,23,FALSE),"")</f>
        <v/>
      </c>
    </row>
    <row r="7" spans="2:14">
      <c r="B7" s="31" t="s">
        <v>589</v>
      </c>
      <c r="C7" s="32">
        <f>IF(Pivot_Master!$A5="","",Pivot_Master!$A5)</f>
        <v>10118</v>
      </c>
      <c r="D7" s="33">
        <f>IF(Pivot_Master!$A6="","",Pivot_Master!$A6)</f>
        <v>20039</v>
      </c>
      <c r="E7" s="33">
        <f>IF(Pivot_Master!$A7="","",Pivot_Master!$A7)</f>
        <v>20061</v>
      </c>
      <c r="F7" s="33">
        <f>IF(Pivot_Master!$A8="","",Pivot_Master!$A8)</f>
        <v>23039</v>
      </c>
      <c r="G7" s="33" t="str">
        <f>IF(Pivot_Master!$A9="","",Pivot_Master!$A9)</f>
        <v>1011801C</v>
      </c>
      <c r="H7" s="33" t="str">
        <f>IF(Pivot_Master!$A10="","",Pivot_Master!$A10)</f>
        <v>2003901A</v>
      </c>
      <c r="I7" s="33" t="str">
        <f>IF(Pivot_Master!$A11="","",Pivot_Master!$A11)</f>
        <v>2303901A</v>
      </c>
      <c r="J7" s="33" t="str">
        <f>IF(Pivot_Master!$A12="","",Pivot_Master!$A12)</f>
        <v/>
      </c>
      <c r="K7" s="33" t="str">
        <f>IF(Pivot_Master!$A13="","",Pivot_Master!$A13)</f>
        <v/>
      </c>
      <c r="L7" s="84" t="str">
        <f>IF(Pivot_Master!$A14="","",Pivot_Master!$A14)</f>
        <v/>
      </c>
      <c r="M7" s="85" t="str">
        <f>IF(Pivot_Master!$A15="","",Pivot_Master!$A15)</f>
        <v/>
      </c>
      <c r="N7" s="1"/>
    </row>
    <row r="8" spans="2:14">
      <c r="B8" s="34" t="s">
        <v>564</v>
      </c>
      <c r="C8" s="35">
        <f>IFERROR(VLOOKUP(C$7,Pivot_Master!$A$4:$G$17,ROW()-6,FALSE)," ")</f>
        <v>100</v>
      </c>
      <c r="D8" s="35">
        <f>IFERROR(VLOOKUP(D$7,Pivot_Master!$A$4:$G$17,ROW()-6,FALSE)," ")</f>
        <v>100</v>
      </c>
      <c r="E8" s="35">
        <f>IFERROR(VLOOKUP(E$7,Pivot_Master!$A$4:$G$17,ROW()-6,FALSE)," ")</f>
        <v>100</v>
      </c>
      <c r="F8" s="35">
        <f>IFERROR(VLOOKUP(F$7,Pivot_Master!$A$4:$G$17,ROW()-6,FALSE)," ")</f>
        <v>100</v>
      </c>
      <c r="G8" s="35">
        <f>IFERROR(VLOOKUP(G$7,Pivot_Master!$A$4:$G$17,ROW()-6,FALSE)," ")</f>
        <v>100</v>
      </c>
      <c r="H8" s="35">
        <f>IFERROR(VLOOKUP(H$7,Pivot_Master!$A$4:$G$17,ROW()-6,FALSE)," ")</f>
        <v>100</v>
      </c>
      <c r="I8" s="35">
        <f>IFERROR(VLOOKUP(I$7,Pivot_Master!$A$4:$G$17,ROW()-6,FALSE)," ")</f>
        <v>100</v>
      </c>
      <c r="J8" s="35" t="str">
        <f>IFERROR(VLOOKUP(J$7,Pivot_Master!$A$4:$G$17,ROW()-6,FALSE)," ")</f>
        <v xml:space="preserve"> </v>
      </c>
      <c r="K8" s="35" t="str">
        <f>IFERROR(VLOOKUP(K$7,Pivot_Master!$A$4:$G$17,ROW()-6,FALSE)," ")</f>
        <v xml:space="preserve"> </v>
      </c>
      <c r="L8" s="35" t="str">
        <f>IFERROR(VLOOKUP(L$7,Pivot_Master!$A$4:$G$17,ROW()-6,FALSE)," ")</f>
        <v xml:space="preserve"> </v>
      </c>
      <c r="M8" s="35" t="str">
        <f>IFERROR(VLOOKUP(M$7,Pivot_Master!$A$4:$G$17,ROW()-6,FALSE)," ")</f>
        <v xml:space="preserve"> </v>
      </c>
    </row>
    <row r="9" spans="2:14">
      <c r="B9" s="34" t="s">
        <v>881</v>
      </c>
      <c r="C9" s="35">
        <f>IFERROR(VLOOKUP(C$7,Pivot_Master!$A$4:$G$17,ROW()-6,FALSE)," ")</f>
        <v>100</v>
      </c>
      <c r="D9" s="35">
        <f>IFERROR(VLOOKUP(D$7,Pivot_Master!$A$4:$G$17,ROW()-6,FALSE)," ")</f>
        <v>0</v>
      </c>
      <c r="E9" s="35">
        <f>IFERROR(VLOOKUP(E$7,Pivot_Master!$A$4:$G$17,ROW()-6,FALSE)," ")</f>
        <v>80</v>
      </c>
      <c r="F9" s="35">
        <f>IFERROR(VLOOKUP(F$7,Pivot_Master!$A$4:$G$17,ROW()-6,FALSE)," ")</f>
        <v>0</v>
      </c>
      <c r="G9" s="35">
        <f>IFERROR(VLOOKUP(G$7,Pivot_Master!$A$4:$G$17,ROW()-6,FALSE)," ")</f>
        <v>100</v>
      </c>
      <c r="H9" s="35">
        <f>IFERROR(VLOOKUP(H$7,Pivot_Master!$A$4:$G$17,ROW()-6,FALSE)," ")</f>
        <v>80</v>
      </c>
      <c r="I9" s="35">
        <f>IFERROR(VLOOKUP(I$7,Pivot_Master!$A$4:$G$17,ROW()-6,FALSE)," ")</f>
        <v>0</v>
      </c>
      <c r="J9" s="35" t="str">
        <f>IFERROR(VLOOKUP(J$7,Pivot_Master!$A$4:$G$17,ROW()-6,FALSE)," ")</f>
        <v xml:space="preserve"> </v>
      </c>
      <c r="K9" s="35" t="str">
        <f>IFERROR(VLOOKUP(K$7,Pivot_Master!$A$4:$G$17,ROW()-6,FALSE)," ")</f>
        <v xml:space="preserve"> </v>
      </c>
      <c r="L9" s="35" t="str">
        <f>IFERROR(VLOOKUP(L$7,Pivot_Master!$A$4:$G$17,ROW()-6,FALSE)," ")</f>
        <v xml:space="preserve"> </v>
      </c>
      <c r="M9" s="35" t="str">
        <f>IFERROR(VLOOKUP(M$7,Pivot_Master!$A$4:$G$17,ROW()-6,FALSE)," ")</f>
        <v xml:space="preserve"> </v>
      </c>
    </row>
    <row r="10" spans="2:14">
      <c r="B10" s="34" t="s">
        <v>1087</v>
      </c>
      <c r="C10" s="35">
        <f>IFERROR(VLOOKUP(C$7,Pivot_Master!$A$4:$G$17,ROW()-6,FALSE)," ")</f>
        <v>0</v>
      </c>
      <c r="D10" s="35">
        <f>IFERROR(VLOOKUP(D$7,Pivot_Master!$A$4:$G$17,ROW()-6,FALSE)," ")</f>
        <v>0</v>
      </c>
      <c r="E10" s="35">
        <f>IFERROR(VLOOKUP(E$7,Pivot_Master!$A$4:$G$17,ROW()-6,FALSE)," ")</f>
        <v>50</v>
      </c>
      <c r="F10" s="35">
        <f>IFERROR(VLOOKUP(F$7,Pivot_Master!$A$4:$G$17,ROW()-6,FALSE)," ")</f>
        <v>0</v>
      </c>
      <c r="G10" s="35">
        <f>IFERROR(VLOOKUP(G$7,Pivot_Master!$A$4:$G$17,ROW()-6,FALSE)," ")</f>
        <v>0</v>
      </c>
      <c r="H10" s="35">
        <f>IFERROR(VLOOKUP(H$7,Pivot_Master!$A$4:$G$17,ROW()-6,FALSE)," ")</f>
        <v>0</v>
      </c>
      <c r="I10" s="35">
        <f>IFERROR(VLOOKUP(I$7,Pivot_Master!$A$4:$G$17,ROW()-6,FALSE)," ")</f>
        <v>0</v>
      </c>
      <c r="J10" s="35" t="str">
        <f>IFERROR(VLOOKUP(J$7,Pivot_Master!$A$4:$G$17,ROW()-6,FALSE)," ")</f>
        <v xml:space="preserve"> </v>
      </c>
      <c r="K10" s="35" t="str">
        <f>IFERROR(VLOOKUP(K$7,Pivot_Master!$A$4:$G$17,ROW()-6,FALSE)," ")</f>
        <v xml:space="preserve"> </v>
      </c>
      <c r="L10" s="35" t="str">
        <f>IFERROR(VLOOKUP(L$7,Pivot_Master!$A$4:$G$17,ROW()-6,FALSE)," ")</f>
        <v xml:space="preserve"> </v>
      </c>
      <c r="M10" s="35" t="str">
        <f>IFERROR(VLOOKUP(M$7,Pivot_Master!$A$4:$G$17,ROW()-6,FALSE)," ")</f>
        <v xml:space="preserve"> </v>
      </c>
    </row>
    <row r="11" spans="2:14">
      <c r="B11" s="34" t="s">
        <v>1062</v>
      </c>
      <c r="C11" s="35">
        <f>IFERROR(VLOOKUP(C$7,Pivot_Master!$A$4:$G$17,ROW()-6,FALSE)," ")</f>
        <v>0</v>
      </c>
      <c r="D11" s="35">
        <f>IFERROR(VLOOKUP(D$7,Pivot_Master!$A$4:$G$17,ROW()-6,FALSE)," ")</f>
        <v>50</v>
      </c>
      <c r="E11" s="35">
        <f>IFERROR(VLOOKUP(E$7,Pivot_Master!$A$4:$G$17,ROW()-6,FALSE)," ")</f>
        <v>50</v>
      </c>
      <c r="F11" s="35">
        <f>IFERROR(VLOOKUP(F$7,Pivot_Master!$A$4:$G$17,ROW()-6,FALSE)," ")</f>
        <v>50</v>
      </c>
      <c r="G11" s="35">
        <f>IFERROR(VLOOKUP(G$7,Pivot_Master!$A$4:$G$17,ROW()-6,FALSE)," ")</f>
        <v>0</v>
      </c>
      <c r="H11" s="35">
        <f>IFERROR(VLOOKUP(H$7,Pivot_Master!$A$4:$G$17,ROW()-6,FALSE)," ")</f>
        <v>50</v>
      </c>
      <c r="I11" s="35">
        <f>IFERROR(VLOOKUP(I$7,Pivot_Master!$A$4:$G$17,ROW()-6,FALSE)," ")</f>
        <v>50</v>
      </c>
      <c r="J11" s="35" t="str">
        <f>IFERROR(VLOOKUP(J$7,Pivot_Master!$A$4:$G$17,ROW()-6,FALSE)," ")</f>
        <v xml:space="preserve"> </v>
      </c>
      <c r="K11" s="35" t="str">
        <f>IFERROR(VLOOKUP(K$7,Pivot_Master!$A$4:$G$17,ROW()-6,FALSE)," ")</f>
        <v xml:space="preserve"> </v>
      </c>
      <c r="L11" s="35" t="str">
        <f>IFERROR(VLOOKUP(L$7,Pivot_Master!$A$4:$G$17,ROW()-6,FALSE)," ")</f>
        <v xml:space="preserve"> </v>
      </c>
      <c r="M11" s="35" t="str">
        <f>IFERROR(VLOOKUP(M$7,Pivot_Master!$A$4:$G$17,ROW()-6,FALSE)," ")</f>
        <v xml:space="preserve"> </v>
      </c>
    </row>
    <row r="12" spans="2:14">
      <c r="B12" s="34" t="s">
        <v>568</v>
      </c>
      <c r="C12" s="35">
        <f>IFERROR(VLOOKUP(C$7,Pivot_Master!$A$4:$G$17,ROW()-6,FALSE)," ")</f>
        <v>80</v>
      </c>
      <c r="D12" s="35">
        <f>IFERROR(VLOOKUP(D$7,Pivot_Master!$A$4:$G$17,ROW()-6,FALSE)," ")</f>
        <v>80</v>
      </c>
      <c r="E12" s="35">
        <f>IFERROR(VLOOKUP(E$7,Pivot_Master!$A$4:$G$17,ROW()-6,FALSE)," ")</f>
        <v>80</v>
      </c>
      <c r="F12" s="35">
        <f>IFERROR(VLOOKUP(F$7,Pivot_Master!$A$4:$G$17,ROW()-6,FALSE)," ")</f>
        <v>80</v>
      </c>
      <c r="G12" s="35">
        <f>IFERROR(VLOOKUP(G$7,Pivot_Master!$A$4:$G$17,ROW()-6,FALSE)," ")</f>
        <v>0</v>
      </c>
      <c r="H12" s="35">
        <f>IFERROR(VLOOKUP(H$7,Pivot_Master!$A$4:$G$17,ROW()-6,FALSE)," ")</f>
        <v>80</v>
      </c>
      <c r="I12" s="35">
        <f>IFERROR(VLOOKUP(I$7,Pivot_Master!$A$4:$G$17,ROW()-6,FALSE)," ")</f>
        <v>80</v>
      </c>
      <c r="J12" s="35" t="str">
        <f>IFERROR(VLOOKUP(J$7,Pivot_Master!$A$4:$G$17,ROW()-6,FALSE)," ")</f>
        <v xml:space="preserve"> </v>
      </c>
      <c r="K12" s="35" t="str">
        <f>IFERROR(VLOOKUP(K$7,Pivot_Master!$A$4:$G$17,ROW()-6,FALSE)," ")</f>
        <v xml:space="preserve"> </v>
      </c>
      <c r="L12" s="35" t="str">
        <f>IFERROR(VLOOKUP(L$7,Pivot_Master!$A$4:$G$17,ROW()-6,FALSE)," ")</f>
        <v xml:space="preserve"> </v>
      </c>
      <c r="M12" s="35" t="str">
        <f>IFERROR(VLOOKUP(M$7,Pivot_Master!$A$4:$G$17,ROW()-6,FALSE)," ")</f>
        <v xml:space="preserve"> </v>
      </c>
    </row>
    <row r="13" spans="2:14">
      <c r="B13" s="34" t="s">
        <v>588</v>
      </c>
      <c r="C13" s="35">
        <f>IFERROR(VLOOKUP(C$7,Pivot_Master!$A$4:$G$17,ROW()-6,FALSE)," ")</f>
        <v>100</v>
      </c>
      <c r="D13" s="35">
        <f>IFERROR(VLOOKUP(D$7,Pivot_Master!$A$4:$G$17,ROW()-6,FALSE)," ")</f>
        <v>0</v>
      </c>
      <c r="E13" s="35">
        <f>IFERROR(VLOOKUP(E$7,Pivot_Master!$A$4:$G$17,ROW()-6,FALSE)," ")</f>
        <v>80</v>
      </c>
      <c r="F13" s="35">
        <f>IFERROR(VLOOKUP(F$7,Pivot_Master!$A$4:$G$17,ROW()-6,FALSE)," ")</f>
        <v>100</v>
      </c>
      <c r="G13" s="35">
        <f>IFERROR(VLOOKUP(G$7,Pivot_Master!$A$4:$G$17,ROW()-6,FALSE)," ")</f>
        <v>100</v>
      </c>
      <c r="H13" s="35">
        <f>IFERROR(VLOOKUP(H$7,Pivot_Master!$A$4:$G$17,ROW()-6,FALSE)," ")</f>
        <v>80</v>
      </c>
      <c r="I13" s="35">
        <f>IFERROR(VLOOKUP(I$7,Pivot_Master!$A$4:$G$17,ROW()-6,FALSE)," ")</f>
        <v>80</v>
      </c>
      <c r="J13" s="35" t="str">
        <f>IFERROR(VLOOKUP(J$7,Pivot_Master!$A$4:$G$17,ROW()-6,FALSE)," ")</f>
        <v xml:space="preserve"> </v>
      </c>
      <c r="K13" s="35" t="str">
        <f>IFERROR(VLOOKUP(K$7,Pivot_Master!$A$4:$G$17,ROW()-6,FALSE)," ")</f>
        <v xml:space="preserve"> </v>
      </c>
      <c r="L13" s="35" t="str">
        <f>IFERROR(VLOOKUP(L$7,Pivot_Master!$A$4:$G$17,ROW()-6,FALSE)," ")</f>
        <v xml:space="preserve"> </v>
      </c>
      <c r="M13" s="35" t="str">
        <f>IFERROR(VLOOKUP(M$7,Pivot_Master!$A$4:$G$17,ROW()-6,FALSE)," ")</f>
        <v xml:space="preserve"> </v>
      </c>
    </row>
    <row r="14" spans="2:14">
      <c r="B14" s="37" t="s">
        <v>1067</v>
      </c>
      <c r="C14" s="38">
        <f>SUM(C8:C13)</f>
        <v>380</v>
      </c>
      <c r="D14" s="38">
        <f t="shared" ref="D14:M14" si="0">SUM(D8:D13)</f>
        <v>230</v>
      </c>
      <c r="E14" s="38">
        <f t="shared" si="0"/>
        <v>440</v>
      </c>
      <c r="F14" s="38">
        <f t="shared" si="0"/>
        <v>330</v>
      </c>
      <c r="G14" s="38">
        <f t="shared" si="0"/>
        <v>300</v>
      </c>
      <c r="H14" s="38">
        <f t="shared" si="0"/>
        <v>390</v>
      </c>
      <c r="I14" s="38">
        <f t="shared" si="0"/>
        <v>310</v>
      </c>
      <c r="J14" s="38">
        <f t="shared" si="0"/>
        <v>0</v>
      </c>
      <c r="K14" s="38">
        <f t="shared" si="0"/>
        <v>0</v>
      </c>
      <c r="L14" s="38">
        <f t="shared" si="0"/>
        <v>0</v>
      </c>
      <c r="M14" s="38">
        <f t="shared" si="0"/>
        <v>0</v>
      </c>
    </row>
    <row r="15" spans="2:14">
      <c r="B15" s="37" t="s">
        <v>688</v>
      </c>
      <c r="C15" s="40">
        <f>IFERROR(VLOOKUP(C7,Pivot_Master!$X$4:$Y$18,ROW()-13,FALSE),"")</f>
        <v>0.1103448275862069</v>
      </c>
      <c r="D15" s="40">
        <f>IFERROR(VLOOKUP(D7,Pivot_Master!$X$4:$Y$18,ROW()-13,FALSE),"")</f>
        <v>0.22758620689655173</v>
      </c>
      <c r="E15" s="40">
        <f>IFERROR(VLOOKUP(E7,Pivot_Master!$X$4:$Y$18,ROW()-13,FALSE),"")</f>
        <v>7.586206896551724E-2</v>
      </c>
      <c r="F15" s="40">
        <f>IFERROR(VLOOKUP(F7,Pivot_Master!$X$4:$Y$18,ROW()-13,FALSE),"")</f>
        <v>0.26896551724137929</v>
      </c>
      <c r="G15" s="40">
        <f>IFERROR(VLOOKUP(G7,Pivot_Master!$X$4:$Y$18,ROW()-13,FALSE),"")</f>
        <v>6.8965517241379309E-2</v>
      </c>
      <c r="H15" s="40">
        <f>IFERROR(VLOOKUP(H7,Pivot_Master!$X$4:$Y$18,ROW()-13,FALSE),"")</f>
        <v>0.13793103448275862</v>
      </c>
      <c r="I15" s="40">
        <f>IFERROR(VLOOKUP(I7,Pivot_Master!$X$4:$Y$18,ROW()-13,FALSE),"")</f>
        <v>0.1103448275862069</v>
      </c>
      <c r="J15" s="40" t="str">
        <f>IFERROR(VLOOKUP(J7,Pivot_Master!$X$4:$Y$18,ROW()-13,FALSE),"")</f>
        <v/>
      </c>
      <c r="K15" s="40" t="str">
        <f>IFERROR(VLOOKUP(K7,Pivot_Master!$X$4:$Y$18,ROW()-13,FALSE),"")</f>
        <v/>
      </c>
      <c r="L15" s="40" t="str">
        <f>IFERROR(VLOOKUP(L7,Pivot_Master!$X$4:$Y$18,ROW()-13,FALSE),"")</f>
        <v/>
      </c>
      <c r="M15" s="40" t="str">
        <f>IFERROR(VLOOKUP(M7,Pivot_Master!$X$4:$Y$18,ROW()-13,FALSE),"")</f>
        <v/>
      </c>
    </row>
    <row r="16" spans="2:14" ht="14.4" thickBot="1">
      <c r="B16" s="50" t="s">
        <v>590</v>
      </c>
      <c r="C16" s="76">
        <f>IFERROR(ROUND(IF(AND(C2="3S",OR(Pivot_Master!$R$12&lt;0.895,Pivot_Master!$R$13&lt;0.895,C3&lt;4.595,C5&lt;4.695)),0,IF(AND(C2="1S",OR(Pivot_Master!$R$12&lt;0.895,C3&lt;4.595,C5&lt;4.695)),0,C15*C14)),0),"")</f>
        <v>0</v>
      </c>
      <c r="D16" s="76">
        <f>IFERROR(ROUND(IF(AND(D2="3S",OR(Pivot_Master!$R$12&lt;0.895,Pivot_Master!$R$13&lt;0.895,D3&lt;4.595,D5&lt;4.695)),0,IF(AND(D2="1S",OR(Pivot_Master!$R$12&lt;0.895,D3&lt;4.595,D5&lt;4.695)),0,D15*D14)),0),"")</f>
        <v>0</v>
      </c>
      <c r="E16" s="76">
        <f>IFERROR(ROUND(IF(AND(E2="3S",OR(Pivot_Master!$R$12&lt;0.895,Pivot_Master!$R$13&lt;0.895,E3&lt;4.595,E5&lt;4.695)),0,IF(AND(E2="1S",OR(Pivot_Master!$R$12&lt;0.895,E3&lt;4.595,E5&lt;4.695)),0,E15*E14)),0),"")</f>
        <v>33</v>
      </c>
      <c r="F16" s="76">
        <f>IFERROR(ROUND(IF(AND(F2="3S",OR(Pivot_Master!$R$12&lt;0.895,Pivot_Master!$R$13&lt;0.895,F3&lt;4.595,F5&lt;4.695)),0,IF(AND(F2="1S",OR(Pivot_Master!$R$12&lt;0.895,F3&lt;4.595,F5&lt;4.695)),0,F15*F14)),0),"")</f>
        <v>0</v>
      </c>
      <c r="G16" s="76">
        <f>IFERROR(ROUND(IF(AND(G2="3S",OR(Pivot_Master!$R$12&lt;0.895,Pivot_Master!$R$13&lt;0.895,G3&lt;4.595,G5&lt;4.695)),0,IF(AND(G2="1S",OR(Pivot_Master!$R$12&lt;0.895,G3&lt;4.595,G5&lt;4.695)),0,G15*G14)),0),"")</f>
        <v>21</v>
      </c>
      <c r="H16" s="76">
        <f>IFERROR(ROUND(IF(AND(H2="3S",OR(Pivot_Master!$R$12&lt;0.895,Pivot_Master!$R$13&lt;0.895,H3&lt;4.595,H5&lt;4.695)),0,IF(AND(H2="1S",OR(Pivot_Master!$R$12&lt;0.895,H3&lt;4.595,H5&lt;4.695)),0,H15*H14)),0),"")</f>
        <v>54</v>
      </c>
      <c r="I16" s="76">
        <f>IFERROR(ROUND(IF(AND(I2="3S",OR(Pivot_Master!$R$12&lt;0.895,Pivot_Master!$R$13&lt;0.895,I3&lt;4.595,I5&lt;4.695)),0,IF(AND(I2="1S",OR(Pivot_Master!$R$12&lt;0.895,I3&lt;4.595,I5&lt;4.695)),0,I15*I14)),0),"")</f>
        <v>34</v>
      </c>
      <c r="J16" s="76" t="str">
        <f>IFERROR(ROUND(IF(AND(J2="3S",OR(Pivot_Master!$R$12&lt;0.895,Pivot_Master!$R$13&lt;0.895,J3&lt;4.595,J5&lt;4.695)),0,IF(AND(J2="1S",OR(Pivot_Master!$R$12&lt;0.895,J3&lt;4.595,J5&lt;4.695)),0,J15*J14)),0),"")</f>
        <v/>
      </c>
      <c r="K16" s="76" t="str">
        <f>IFERROR(ROUND(IF(AND(K2="3S",OR(Pivot_Master!$R$12&lt;0.895,Pivot_Master!$R$13&lt;0.895,K3&lt;4.595,K5&lt;4.695)),0,IF(AND(K2="1S",OR(Pivot_Master!$R$12&lt;0.895,K3&lt;4.595,K5&lt;4.695)),0,K15*K14)),0),"")</f>
        <v/>
      </c>
      <c r="L16" s="76" t="str">
        <f>IFERROR(ROUND(IF(AND(L2="3S",OR(Pivot_Master!$R$12&lt;0.895,Pivot_Master!$R$13&lt;0.895,L3&lt;4.595,L5&lt;4.695)),0,IF(AND(L2="1S",OR(Pivot_Master!$R$12&lt;0.895,L3&lt;4.595,L5&lt;4.695)),0,L15*L14)),0),"")</f>
        <v/>
      </c>
      <c r="M16" s="76" t="str">
        <f>IFERROR(ROUND(IF(AND(M2="3S",OR(Pivot_Master!$R$12&lt;0.895,Pivot_Master!$R$13&lt;0.895,M3&lt;4.595,M5&lt;4.695)),0,IF(AND(M2="1S",OR(Pivot_Master!$R$12&lt;0.895,M3&lt;4.595,M5&lt;4.695)),0,M15*M14)),0),"")</f>
        <v/>
      </c>
    </row>
    <row r="17" spans="2:13" ht="14.4" thickBot="1">
      <c r="B17" s="50" t="s">
        <v>602</v>
      </c>
      <c r="C17" s="166">
        <f>ROUND(SUM(C16:M16),0)</f>
        <v>142</v>
      </c>
      <c r="D17" s="167"/>
      <c r="E17" s="167"/>
      <c r="F17" s="167"/>
      <c r="G17" s="167"/>
      <c r="H17" s="167"/>
      <c r="I17" s="167"/>
      <c r="J17" s="167"/>
      <c r="K17" s="167"/>
      <c r="L17" s="167"/>
      <c r="M17" s="168"/>
    </row>
    <row r="18" spans="2:13">
      <c r="C18" s="1" t="str">
        <f>IFERROR(VLOOKUP(C22,Main_Data_Service!$D$2:$W$113,19,FALSE),"")</f>
        <v>3S</v>
      </c>
      <c r="D18" s="1" t="str">
        <f>IFERROR(VLOOKUP(D22,Main_Data_Service!$D$2:$W$113,19,FALSE),"")</f>
        <v>3S</v>
      </c>
      <c r="E18" s="1" t="str">
        <f>IFERROR(VLOOKUP(E22,Main_Data_Service!$D$2:$W$113,19,FALSE),"")</f>
        <v>3S</v>
      </c>
      <c r="F18" s="1" t="str">
        <f>IFERROR(VLOOKUP(F22,Main_Data_Service!$D$2:$W$113,19,FALSE),"")</f>
        <v>3S</v>
      </c>
    </row>
    <row r="19" spans="2:13" ht="14.4" thickBot="1">
      <c r="C19" s="83">
        <f>IFERROR(VLOOKUP(C22,Main_Data_Service!$D$3:$AB$106,25,FALSE),"")</f>
        <v>0</v>
      </c>
      <c r="D19" s="83">
        <f>IFERROR(VLOOKUP(D22,Main_Data_Service!$D$3:$AB$106,25,FALSE),"")</f>
        <v>0</v>
      </c>
      <c r="E19" s="83">
        <f>IFERROR(VLOOKUP(E22,Main_Data_Service!$D$3:$AB$106,25,FALSE),"")</f>
        <v>0</v>
      </c>
      <c r="F19" s="83">
        <f>IFERROR(VLOOKUP(F22,Main_Data_Service!$D$3:$AB$106,25,FALSE),"")</f>
        <v>0</v>
      </c>
    </row>
    <row r="20" spans="2:13" ht="21.6" thickBot="1">
      <c r="B20" s="163" t="s">
        <v>598</v>
      </c>
      <c r="C20" s="164"/>
      <c r="D20" s="164"/>
      <c r="E20" s="164"/>
      <c r="F20" s="165"/>
    </row>
    <row r="21" spans="2:13" ht="14.4" thickBot="1">
      <c r="B21" s="30" t="s">
        <v>880</v>
      </c>
      <c r="C21" s="144">
        <f>IFERROR(ROUND(VLOOKUP(C$22,Main_Data_Service!$D$2:$R$111,ROW()-6,FALSE),2),"")</f>
        <v>4.5999999999999996</v>
      </c>
      <c r="D21" s="144">
        <f>IFERROR(ROUND(VLOOKUP(D$22,Main_Data_Service!$D$2:$R$111,ROW()-6,FALSE),2),"")</f>
        <v>4.7</v>
      </c>
      <c r="E21" s="144">
        <f>IFERROR(ROUND(VLOOKUP(E$22,Main_Data_Service!$D$2:$R$111,ROW()-6,FALSE),2),"")</f>
        <v>4.5999999999999996</v>
      </c>
      <c r="F21" s="144">
        <f>IFERROR(ROUND(VLOOKUP(F$22,Main_Data_Service!$D$2:$R$111,ROW()-6,FALSE),2),"")</f>
        <v>4.5999999999999996</v>
      </c>
    </row>
    <row r="22" spans="2:13">
      <c r="B22" s="44" t="s">
        <v>589</v>
      </c>
      <c r="C22" s="43">
        <f>IF(Pivot_Master!$I5="","",Pivot_Master!$I5)</f>
        <v>10118</v>
      </c>
      <c r="D22" s="43">
        <f>IF(Pivot_Master!$I6="","",Pivot_Master!$I6)</f>
        <v>20061</v>
      </c>
      <c r="E22" s="43">
        <f>IF(Pivot_Master!$I7="","",Pivot_Master!$I7)</f>
        <v>23039</v>
      </c>
      <c r="F22" s="86">
        <f>IF(Pivot_Master!$I8="","",Pivot_Master!$I8)</f>
        <v>10039</v>
      </c>
    </row>
    <row r="23" spans="2:13">
      <c r="B23" s="45" t="s">
        <v>569</v>
      </c>
      <c r="C23" s="36">
        <f>IFERROR(VLOOKUP(C$22,Pivot_Master!$I$4:$O$9,ROW()-21,FALSE)," ")</f>
        <v>100</v>
      </c>
      <c r="D23" s="36">
        <f>IFERROR(VLOOKUP(D$22,Pivot_Master!$I$4:$O$9,ROW()-21,FALSE)," ")</f>
        <v>80</v>
      </c>
      <c r="E23" s="36">
        <f>IFERROR(VLOOKUP(E$22,Pivot_Master!$I$4:$O$9,ROW()-21,FALSE)," ")</f>
        <v>100</v>
      </c>
      <c r="F23" s="36">
        <f>IFERROR(VLOOKUP(F$22,Pivot_Master!$I$4:$O$9,ROW()-21,FALSE)," ")</f>
        <v>100</v>
      </c>
    </row>
    <row r="24" spans="2:13">
      <c r="B24" s="45" t="s">
        <v>570</v>
      </c>
      <c r="C24" s="36">
        <f>IFERROR(VLOOKUP(C$22,Pivot_Master!$I$4:$O$9,ROW()-21,FALSE)," ")</f>
        <v>50</v>
      </c>
      <c r="D24" s="36">
        <f>IFERROR(VLOOKUP(D$22,Pivot_Master!$I$4:$O$9,ROW()-21,FALSE)," ")</f>
        <v>50</v>
      </c>
      <c r="E24" s="36">
        <f>IFERROR(VLOOKUP(E$22,Pivot_Master!$I$4:$O$9,ROW()-21,FALSE)," ")</f>
        <v>40</v>
      </c>
      <c r="F24" s="36">
        <f>IFERROR(VLOOKUP(F$22,Pivot_Master!$I$4:$O$9,ROW()-21,FALSE)," ")</f>
        <v>40</v>
      </c>
    </row>
    <row r="25" spans="2:13">
      <c r="B25" s="45" t="s">
        <v>571</v>
      </c>
      <c r="C25" s="36">
        <f>IFERROR(VLOOKUP(C$22,Pivot_Master!$I$4:$O$9,ROW()-21,FALSE)," ")</f>
        <v>80</v>
      </c>
      <c r="D25" s="36">
        <f>IFERROR(VLOOKUP(D$22,Pivot_Master!$I$4:$O$9,ROW()-21,FALSE)," ")</f>
        <v>80</v>
      </c>
      <c r="E25" s="36">
        <f>IFERROR(VLOOKUP(E$22,Pivot_Master!$I$4:$O$9,ROW()-21,FALSE)," ")</f>
        <v>80</v>
      </c>
      <c r="F25" s="36">
        <f>IFERROR(VLOOKUP(F$22,Pivot_Master!$I$4:$O$9,ROW()-21,FALSE)," ")</f>
        <v>80</v>
      </c>
    </row>
    <row r="26" spans="2:13">
      <c r="B26" s="45" t="s">
        <v>1061</v>
      </c>
      <c r="C26" s="36">
        <f>IFERROR(VLOOKUP(C$22,Pivot_Master!$I$4:$O$9,ROW()-21,FALSE)," ")</f>
        <v>75</v>
      </c>
      <c r="D26" s="36">
        <f>IFERROR(VLOOKUP(D$22,Pivot_Master!$I$4:$O$9,ROW()-21,FALSE)," ")</f>
        <v>60</v>
      </c>
      <c r="E26" s="36">
        <f>IFERROR(VLOOKUP(E$22,Pivot_Master!$I$4:$O$9,ROW()-21,FALSE)," ")</f>
        <v>75</v>
      </c>
      <c r="F26" s="36">
        <f>IFERROR(VLOOKUP(F$22,Pivot_Master!$I$4:$O$9,ROW()-21,FALSE)," ")</f>
        <v>60</v>
      </c>
    </row>
    <row r="27" spans="2:13">
      <c r="B27" s="45" t="s">
        <v>882</v>
      </c>
      <c r="C27" s="36">
        <f>IFERROR(VLOOKUP(C$22,Pivot_Master!$I$4:$O$9,ROW()-21,FALSE)," ")</f>
        <v>75</v>
      </c>
      <c r="D27" s="36">
        <f>IFERROR(VLOOKUP(D$22,Pivot_Master!$I$4:$O$9,ROW()-21,FALSE)," ")</f>
        <v>75</v>
      </c>
      <c r="E27" s="36">
        <f>IFERROR(VLOOKUP(E$22,Pivot_Master!$I$4:$O$9,ROW()-21,FALSE)," ")</f>
        <v>75</v>
      </c>
      <c r="F27" s="36">
        <f>IFERROR(VLOOKUP(F$22,Pivot_Master!$I$4:$O$9,ROW()-21,FALSE)," ")</f>
        <v>0</v>
      </c>
    </row>
    <row r="28" spans="2:13">
      <c r="B28" s="45" t="s">
        <v>573</v>
      </c>
      <c r="C28" s="36">
        <f>IFERROR(VLOOKUP(C$22,Pivot_Master!$I$4:$O$9,ROW()-21,FALSE)," ")</f>
        <v>100</v>
      </c>
      <c r="D28" s="36">
        <f>IFERROR(VLOOKUP(D$22,Pivot_Master!$I$4:$O$9,ROW()-21,FALSE)," ")</f>
        <v>100</v>
      </c>
      <c r="E28" s="36">
        <f>IFERROR(VLOOKUP(E$22,Pivot_Master!$I$4:$O$9,ROW()-21,FALSE)," ")</f>
        <v>80</v>
      </c>
      <c r="F28" s="36">
        <f>IFERROR(VLOOKUP(F$22,Pivot_Master!$I$4:$O$9,ROW()-21,FALSE)," ")</f>
        <v>0</v>
      </c>
    </row>
    <row r="29" spans="2:13">
      <c r="B29" s="46" t="s">
        <v>1067</v>
      </c>
      <c r="C29" s="39">
        <f>SUM(C23:C28)</f>
        <v>480</v>
      </c>
      <c r="D29" s="39">
        <f t="shared" ref="D29:F29" si="1">SUM(D23:D28)</f>
        <v>445</v>
      </c>
      <c r="E29" s="39">
        <f t="shared" si="1"/>
        <v>450</v>
      </c>
      <c r="F29" s="39">
        <f t="shared" si="1"/>
        <v>280</v>
      </c>
    </row>
    <row r="30" spans="2:13">
      <c r="B30" s="46" t="s">
        <v>689</v>
      </c>
      <c r="C30" s="41">
        <f>IFERROR(VLOOKUP(C22,Pivot_Master!$AA$4:$AB$8,ROW()-28,FALSE),"")</f>
        <v>0.15246406570841892</v>
      </c>
      <c r="D30" s="41">
        <f>IFERROR(VLOOKUP(D22,Pivot_Master!$AA$4:$AB$8,ROW()-28,FALSE),"")</f>
        <v>9.8049281314168388E-2</v>
      </c>
      <c r="E30" s="41">
        <f>IFERROR(VLOOKUP(E22,Pivot_Master!$AA$4:$AB$8,ROW()-28,FALSE),"")</f>
        <v>0.4229979466119097</v>
      </c>
      <c r="F30" s="41">
        <f>IFERROR(VLOOKUP(F22,Pivot_Master!$AA$4:$AB$8,ROW()-28,FALSE),"")</f>
        <v>0.32648870636550315</v>
      </c>
    </row>
    <row r="31" spans="2:13" ht="14.4" thickBot="1">
      <c r="B31" s="51" t="s">
        <v>590</v>
      </c>
      <c r="C31" s="42">
        <f>IFERROR(ROUND(IF(AND(C18="3S",OR(Pivot_Master!$R$12&lt;0.895,Pivot_Master!$R$13&lt;0.895,C21&lt;4.695)),0,IF(AND(C18="1S",OR(C21&lt;4.695,Pivot_Master!$R$13&lt;0.895,)),0,C30*C29)),0),"")</f>
        <v>0</v>
      </c>
      <c r="D31" s="42">
        <f>IFERROR(ROUND(IF(AND(D18="3S",OR(Pivot_Master!$R$12&lt;0.895,Pivot_Master!$R$13&lt;0.895,D21&lt;4.695)),0,IF(AND(D18="1S",OR(D21&lt;4.695,Pivot_Master!$R$13&lt;0.895,)),0,D30*D29)),0),"")</f>
        <v>44</v>
      </c>
      <c r="E31" s="42">
        <f>IFERROR(ROUND(IF(AND(E18="3S",OR(Pivot_Master!$R$12&lt;0.895,Pivot_Master!$R$13&lt;0.895,E21&lt;4.695)),0,IF(AND(E18="1S",OR(E21&lt;4.695,Pivot_Master!$R$13&lt;0.895,)),0,E30*E29)),0),"")</f>
        <v>0</v>
      </c>
      <c r="F31" s="42">
        <f>IFERROR(ROUND(IF(AND(F18="3S",OR(Pivot_Master!$R$12&lt;0.895,Pivot_Master!$R$13&lt;0.895,F21&lt;4.695)),0,IF(AND(F18="1S",OR(F21&lt;4.695,Pivot_Master!$R$13&lt;0.895,)),0,F30*F29)),0),"")</f>
        <v>0</v>
      </c>
    </row>
    <row r="32" spans="2:13" ht="14.4" thickBot="1">
      <c r="B32" s="50" t="s">
        <v>603</v>
      </c>
      <c r="C32" s="169">
        <f>ROUND(SUM(C31:F31),0)</f>
        <v>44</v>
      </c>
      <c r="D32" s="170"/>
      <c r="E32" s="170"/>
      <c r="F32" s="171"/>
    </row>
    <row r="34" spans="2:4" ht="14.4" thickBot="1"/>
    <row r="35" spans="2:4" ht="18" thickBot="1">
      <c r="B35" s="158" t="s">
        <v>597</v>
      </c>
      <c r="C35" s="159"/>
    </row>
    <row r="36" spans="2:4" ht="17.399999999999999">
      <c r="B36" s="77" t="s">
        <v>591</v>
      </c>
      <c r="C36" s="78">
        <f>IFERROR(VLOOKUP(Pivot_Master!$T$2,'Investor Master Data'!$C$3:$L$84,7,FALSE),"-")</f>
        <v>0</v>
      </c>
    </row>
    <row r="37" spans="2:4" ht="17.399999999999999">
      <c r="B37" s="79" t="s">
        <v>592</v>
      </c>
      <c r="C37" s="80">
        <f>IFERROR(VLOOKUP(Pivot_Master!$T$2,'Investor Master Data'!$C$3:$L$84,8,FALSE),"-")</f>
        <v>0</v>
      </c>
    </row>
    <row r="38" spans="2:4" ht="17.399999999999999">
      <c r="B38" s="79" t="s">
        <v>1049</v>
      </c>
      <c r="C38" s="80">
        <f>IFERROR(IF(AND(OR(C43="Diamond",C43="Gold"),VLOOKUP(Pivot_Master!$T$2,'Investor Master Data'!$C$3:$L$84,9,FALSE)&lt;=0),"NA as Retail Target achievement &lt;100%",VLOOKUP(Pivot_Master!$T$2,'Investor Master Data'!$C$3:$L$84,9,FALSE)),"-")</f>
        <v>0</v>
      </c>
    </row>
    <row r="39" spans="2:4" ht="18" thickBot="1">
      <c r="B39" s="81" t="s">
        <v>594</v>
      </c>
      <c r="C39" s="82">
        <f>IFERROR(VLOOKUP(Pivot_Master!$T$2,'Investor Master Data'!$C$3:$L$84,10,FALSE),"-")</f>
        <v>0</v>
      </c>
    </row>
    <row r="41" spans="2:4" ht="27.6">
      <c r="B41" s="26" t="s">
        <v>607</v>
      </c>
      <c r="C41" s="25">
        <f>IFERROR(VLOOKUP(Pivot_Master!$T$2,'Investor Master Data'!$C$3:$M$84,11,FALSE),"-")</f>
        <v>0</v>
      </c>
      <c r="D41" s="47" t="str">
        <f>_xlfn.CONCAT(B41," ",TEXT(C41,"₹ 0,000"))</f>
        <v>Payout per Car ₹ 0,000</v>
      </c>
    </row>
    <row r="43" spans="2:4">
      <c r="C43" t="str">
        <f>IF((SUM(Sheet1!C32,Sheet1!C17))&gt;900,"Diamond",IF((SUM(Sheet1!C32,Sheet1!C17))&gt;750,"Gold",IF((SUM(Sheet1!C32,Sheet1!C17))&gt;600,"Silver","Not Qualified")))</f>
        <v>Not Qualified</v>
      </c>
    </row>
    <row r="46" spans="2:4">
      <c r="C46">
        <f>IFERROR(IF(AND(C43="Diamond",VLOOKUP(Pivot_Master!$T$2,'Investor Master Data'!$C$3:$L$84,9,FALSE)&lt;=0),"Retail Target achievement &lt;100%",VLOOKUP(Pivot_Master!$T$2,'Investor Master Data'!$C$3:$L$84,9,FALSE)),"-")</f>
        <v>0</v>
      </c>
    </row>
  </sheetData>
  <mergeCells count="5">
    <mergeCell ref="B35:C35"/>
    <mergeCell ref="B4:M4"/>
    <mergeCell ref="B20:F20"/>
    <mergeCell ref="C17:M17"/>
    <mergeCell ref="C32:F32"/>
  </mergeCells>
  <conditionalFormatting sqref="C14:M14">
    <cfRule type="cellIs" dxfId="134" priority="6" operator="between">
      <formula>301</formula>
      <formula>400</formula>
    </cfRule>
    <cfRule type="cellIs" dxfId="133" priority="7" operator="between">
      <formula>300</formula>
      <formula>1</formula>
    </cfRule>
  </conditionalFormatting>
  <conditionalFormatting sqref="C29:F29">
    <cfRule type="cellIs" dxfId="132" priority="4" operator="between">
      <formula>301</formula>
      <formula>400</formula>
    </cfRule>
    <cfRule type="cellIs" dxfId="131" priority="5" operator="between">
      <formula>300</formula>
      <formula>1</formula>
    </cfRule>
  </conditionalFormatting>
  <conditionalFormatting sqref="C6:M6">
    <cfRule type="cellIs" dxfId="130" priority="3" operator="lessThan">
      <formula>4.6</formula>
    </cfRule>
  </conditionalFormatting>
  <conditionalFormatting sqref="C21:F21">
    <cfRule type="cellIs" dxfId="129" priority="2" operator="lessThan">
      <formula>4.7</formula>
    </cfRule>
  </conditionalFormatting>
  <conditionalFormatting sqref="C5:M5">
    <cfRule type="cellIs" dxfId="128" priority="1" operator="lessThan">
      <formula>4.695</formula>
    </cfRule>
  </conditionalFormatting>
  <pageMargins left="0.7" right="0.7" top="0.75" bottom="0.75" header="0.3" footer="0.3"/>
  <pageSetup paperSize="9" orientation="landscape" r:id="rId1"/>
  <headerFooter>
    <oddHeader>&amp;L&amp;"Arial"&amp;8&amp;K000000 INTERNAL&amp;1#_x000D_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F1D5A-6937-490C-A59E-585A620AC7E4}">
  <sheetPr codeName="Sheet8"/>
  <dimension ref="C1:K321"/>
  <sheetViews>
    <sheetView showGridLines="0" topLeftCell="E1" workbookViewId="0">
      <selection activeCell="C7" sqref="C7"/>
    </sheetView>
  </sheetViews>
  <sheetFormatPr defaultRowHeight="13.8"/>
  <cols>
    <col min="3" max="3" width="21.19921875" bestFit="1" customWidth="1"/>
    <col min="4" max="4" width="20.09765625" bestFit="1" customWidth="1"/>
    <col min="6" max="6" width="21.19921875" bestFit="1" customWidth="1"/>
    <col min="7" max="7" width="19.69921875" customWidth="1"/>
    <col min="9" max="9" width="16.69921875" bestFit="1" customWidth="1"/>
    <col min="10" max="10" width="15.5" bestFit="1" customWidth="1"/>
    <col min="11" max="11" width="35.09765625" bestFit="1" customWidth="1"/>
  </cols>
  <sheetData>
    <row r="1" spans="3:11" ht="14.4" thickBot="1"/>
    <row r="2" spans="3:11" ht="28.2" thickBot="1">
      <c r="C2" s="62" t="s">
        <v>71</v>
      </c>
      <c r="D2" s="58" t="s">
        <v>767</v>
      </c>
      <c r="F2" s="62" t="s">
        <v>71</v>
      </c>
      <c r="G2" s="58" t="s">
        <v>768</v>
      </c>
      <c r="I2" s="99" t="s">
        <v>785</v>
      </c>
      <c r="J2" s="99" t="s">
        <v>786</v>
      </c>
      <c r="K2" s="100" t="s">
        <v>798</v>
      </c>
    </row>
    <row r="3" spans="3:11" ht="15">
      <c r="C3" s="60" t="s">
        <v>612</v>
      </c>
      <c r="D3" s="120">
        <v>1.0105263157894737</v>
      </c>
      <c r="F3" s="60" t="s">
        <v>612</v>
      </c>
      <c r="G3" s="120">
        <v>1.1033593133587347</v>
      </c>
      <c r="I3" s="88">
        <v>10397</v>
      </c>
      <c r="J3" s="88">
        <v>10397</v>
      </c>
      <c r="K3" s="96" t="s">
        <v>28</v>
      </c>
    </row>
    <row r="4" spans="3:11" ht="15">
      <c r="C4" s="60" t="s">
        <v>613</v>
      </c>
      <c r="D4" s="120">
        <v>2.0476190476190474</v>
      </c>
      <c r="F4" s="60" t="s">
        <v>613</v>
      </c>
      <c r="G4" s="120">
        <v>1.5305156433748555</v>
      </c>
      <c r="I4" s="88" t="s">
        <v>168</v>
      </c>
      <c r="J4" s="88" t="s">
        <v>168</v>
      </c>
      <c r="K4" s="96" t="s">
        <v>799</v>
      </c>
    </row>
    <row r="5" spans="3:11" ht="15">
      <c r="C5" s="60" t="s">
        <v>614</v>
      </c>
      <c r="D5" s="120">
        <v>0.14000000000000001</v>
      </c>
      <c r="F5" s="60" t="s">
        <v>614</v>
      </c>
      <c r="G5" s="120">
        <v>0.22775075598526723</v>
      </c>
      <c r="I5" s="88">
        <v>10346</v>
      </c>
      <c r="J5" s="88">
        <v>10346</v>
      </c>
      <c r="K5" s="96" t="s">
        <v>799</v>
      </c>
    </row>
    <row r="6" spans="3:11" ht="15">
      <c r="C6" s="60" t="s">
        <v>615</v>
      </c>
      <c r="D6" s="120">
        <v>4.1071428571428568</v>
      </c>
      <c r="F6" s="60" t="s">
        <v>615</v>
      </c>
      <c r="G6" s="120">
        <v>1</v>
      </c>
      <c r="I6" s="88" t="s">
        <v>170</v>
      </c>
      <c r="J6" s="88"/>
      <c r="K6" s="96" t="s">
        <v>799</v>
      </c>
    </row>
    <row r="7" spans="3:11" ht="15">
      <c r="C7" s="60" t="s">
        <v>616</v>
      </c>
      <c r="D7" s="120">
        <v>1.0529801324503312</v>
      </c>
      <c r="F7" s="60" t="s">
        <v>616</v>
      </c>
      <c r="G7" s="120">
        <v>1.0972477500110727</v>
      </c>
      <c r="I7" s="88" t="s">
        <v>171</v>
      </c>
      <c r="J7" s="88" t="s">
        <v>171</v>
      </c>
      <c r="K7" s="96" t="s">
        <v>799</v>
      </c>
    </row>
    <row r="8" spans="3:11" ht="15">
      <c r="C8" s="60" t="s">
        <v>617</v>
      </c>
      <c r="D8" s="120">
        <v>1.45</v>
      </c>
      <c r="F8" s="60" t="s">
        <v>617</v>
      </c>
      <c r="G8" s="120">
        <v>1.3188557229288624</v>
      </c>
      <c r="I8" s="88" t="s">
        <v>182</v>
      </c>
      <c r="J8" s="88" t="s">
        <v>182</v>
      </c>
      <c r="K8" s="96" t="s">
        <v>54</v>
      </c>
    </row>
    <row r="9" spans="3:11" ht="15">
      <c r="C9" s="60" t="s">
        <v>618</v>
      </c>
      <c r="D9" s="120">
        <v>0.91293532338308458</v>
      </c>
      <c r="F9" s="60" t="s">
        <v>618</v>
      </c>
      <c r="G9" s="120">
        <v>1.1749850565984394</v>
      </c>
      <c r="I9" s="88" t="s">
        <v>181</v>
      </c>
      <c r="J9" s="88" t="s">
        <v>181</v>
      </c>
      <c r="K9" s="96" t="s">
        <v>54</v>
      </c>
    </row>
    <row r="10" spans="3:11" ht="15">
      <c r="C10" s="60" t="s">
        <v>760</v>
      </c>
      <c r="D10" s="120">
        <v>0.80139372822299648</v>
      </c>
      <c r="F10" s="60" t="s">
        <v>760</v>
      </c>
      <c r="G10" s="120">
        <v>0.77534608211174605</v>
      </c>
      <c r="I10" s="88" t="s">
        <v>179</v>
      </c>
      <c r="J10" s="88"/>
      <c r="K10" s="96" t="s">
        <v>54</v>
      </c>
    </row>
    <row r="11" spans="3:11" ht="15">
      <c r="C11" s="60" t="s">
        <v>619</v>
      </c>
      <c r="D11" s="120">
        <v>0.90410958904109584</v>
      </c>
      <c r="F11" s="60" t="s">
        <v>619</v>
      </c>
      <c r="G11" s="120">
        <v>0.64489332489731654</v>
      </c>
      <c r="I11" s="88"/>
      <c r="J11" s="88">
        <v>20353</v>
      </c>
      <c r="K11" s="96" t="s">
        <v>54</v>
      </c>
    </row>
    <row r="12" spans="3:11" ht="15">
      <c r="C12" s="60" t="s">
        <v>620</v>
      </c>
      <c r="D12" s="120">
        <v>1.1919191919191918</v>
      </c>
      <c r="F12" s="60" t="s">
        <v>620</v>
      </c>
      <c r="G12" s="120">
        <v>1.1185499277382036</v>
      </c>
      <c r="I12" s="88">
        <v>10353</v>
      </c>
      <c r="J12" s="88"/>
      <c r="K12" s="96" t="s">
        <v>54</v>
      </c>
    </row>
    <row r="13" spans="3:11" ht="15">
      <c r="C13" s="60" t="s">
        <v>621</v>
      </c>
      <c r="D13" s="120">
        <v>5.041666666666667</v>
      </c>
      <c r="F13" s="60" t="s">
        <v>621</v>
      </c>
      <c r="G13" s="120">
        <v>0.91531217867254355</v>
      </c>
      <c r="I13" s="89" t="s">
        <v>180</v>
      </c>
      <c r="J13" s="89" t="s">
        <v>180</v>
      </c>
      <c r="K13" s="96" t="s">
        <v>54</v>
      </c>
    </row>
    <row r="14" spans="3:11" ht="15">
      <c r="C14" s="60" t="s">
        <v>730</v>
      </c>
      <c r="D14" s="120">
        <v>2.3333333333333335</v>
      </c>
      <c r="F14" s="60" t="s">
        <v>730</v>
      </c>
      <c r="G14" s="120">
        <v>0.6622240845864662</v>
      </c>
      <c r="I14" s="88">
        <v>10373</v>
      </c>
      <c r="J14" s="88">
        <v>10373</v>
      </c>
      <c r="K14" s="96" t="s">
        <v>800</v>
      </c>
    </row>
    <row r="15" spans="3:11" ht="15">
      <c r="C15" s="22" t="s">
        <v>622</v>
      </c>
      <c r="D15" s="120">
        <v>0.85350318471337583</v>
      </c>
      <c r="F15" s="22" t="s">
        <v>622</v>
      </c>
      <c r="G15" s="120">
        <v>0.96516114733275904</v>
      </c>
      <c r="I15" s="88">
        <v>10082</v>
      </c>
      <c r="J15" s="88">
        <v>10082</v>
      </c>
      <c r="K15" s="96" t="s">
        <v>801</v>
      </c>
    </row>
    <row r="16" spans="3:11" ht="15">
      <c r="C16" s="60" t="s">
        <v>759</v>
      </c>
      <c r="D16" s="120">
        <v>1.0705882352941176</v>
      </c>
      <c r="F16" s="60" t="s">
        <v>759</v>
      </c>
      <c r="G16" s="120">
        <v>1.0770537907328386</v>
      </c>
      <c r="I16" s="88" t="s">
        <v>166</v>
      </c>
      <c r="J16" s="88"/>
      <c r="K16" s="96" t="s">
        <v>800</v>
      </c>
    </row>
    <row r="17" spans="3:11" ht="15">
      <c r="C17" s="60" t="s">
        <v>623</v>
      </c>
      <c r="D17" s="120">
        <v>1.0465116279069768</v>
      </c>
      <c r="F17" s="60" t="s">
        <v>623</v>
      </c>
      <c r="G17" s="120">
        <v>1.0248319538034099</v>
      </c>
      <c r="I17" s="88">
        <v>10372</v>
      </c>
      <c r="J17" s="88">
        <v>10372</v>
      </c>
      <c r="K17" s="96" t="s">
        <v>800</v>
      </c>
    </row>
    <row r="18" spans="3:11" ht="15">
      <c r="C18" s="60" t="s">
        <v>624</v>
      </c>
      <c r="D18" s="120">
        <v>1.9574468085106382</v>
      </c>
      <c r="F18" s="60" t="s">
        <v>624</v>
      </c>
      <c r="G18" s="120">
        <v>0.84121738401834267</v>
      </c>
      <c r="I18" s="88" t="s">
        <v>169</v>
      </c>
      <c r="J18" s="88" t="s">
        <v>169</v>
      </c>
      <c r="K18" s="96" t="s">
        <v>799</v>
      </c>
    </row>
    <row r="19" spans="3:11" ht="15">
      <c r="C19" s="60" t="s">
        <v>625</v>
      </c>
      <c r="D19" s="120">
        <v>1.105</v>
      </c>
      <c r="F19" s="60" t="s">
        <v>625</v>
      </c>
      <c r="G19" s="120">
        <v>1.1398761805180118</v>
      </c>
      <c r="I19" s="88">
        <v>10296</v>
      </c>
      <c r="J19" s="88">
        <v>10296</v>
      </c>
      <c r="K19" s="96" t="s">
        <v>2</v>
      </c>
    </row>
    <row r="20" spans="3:11" ht="15">
      <c r="C20" s="60" t="s">
        <v>626</v>
      </c>
      <c r="D20" s="120">
        <v>1.054263565891473</v>
      </c>
      <c r="F20" s="60" t="s">
        <v>626</v>
      </c>
      <c r="G20" s="120">
        <v>1.1838015075453217</v>
      </c>
      <c r="I20" s="88"/>
      <c r="J20" s="88">
        <v>20400</v>
      </c>
      <c r="K20" s="96" t="s">
        <v>68</v>
      </c>
    </row>
    <row r="21" spans="3:11" ht="15">
      <c r="C21" s="60" t="s">
        <v>627</v>
      </c>
      <c r="D21" s="120">
        <v>0.97530864197530864</v>
      </c>
      <c r="F21" s="60" t="s">
        <v>627</v>
      </c>
      <c r="G21" s="120">
        <v>0.95405808718834173</v>
      </c>
      <c r="I21" s="88">
        <v>10400</v>
      </c>
      <c r="J21" s="88"/>
      <c r="K21" s="96" t="s">
        <v>68</v>
      </c>
    </row>
    <row r="22" spans="3:11" ht="15">
      <c r="C22" s="60" t="s">
        <v>628</v>
      </c>
      <c r="D22" s="120">
        <v>0.92592592592592593</v>
      </c>
      <c r="F22" s="60" t="s">
        <v>628</v>
      </c>
      <c r="G22" s="120">
        <v>0.98039160428242678</v>
      </c>
      <c r="I22" s="88" t="s">
        <v>74</v>
      </c>
      <c r="J22" s="88"/>
      <c r="K22" s="96" t="s">
        <v>2</v>
      </c>
    </row>
    <row r="23" spans="3:11" ht="15">
      <c r="C23" s="60" t="s">
        <v>629</v>
      </c>
      <c r="D23" s="120">
        <v>1.0679012345679013</v>
      </c>
      <c r="F23" s="60" t="s">
        <v>629</v>
      </c>
      <c r="G23" s="120">
        <v>1.9254756445494483</v>
      </c>
      <c r="I23" s="88" t="s">
        <v>75</v>
      </c>
      <c r="J23" s="88"/>
      <c r="K23" s="96" t="s">
        <v>2</v>
      </c>
    </row>
    <row r="24" spans="3:11" ht="15">
      <c r="C24" s="60" t="s">
        <v>630</v>
      </c>
      <c r="D24" s="120">
        <v>1.1216216216216217</v>
      </c>
      <c r="F24" s="60" t="s">
        <v>630</v>
      </c>
      <c r="G24" s="120">
        <v>2.2540296121511032</v>
      </c>
      <c r="I24" s="88"/>
      <c r="J24" s="88" t="s">
        <v>787</v>
      </c>
      <c r="K24" s="96" t="s">
        <v>2</v>
      </c>
    </row>
    <row r="25" spans="3:11" ht="15">
      <c r="C25" s="60" t="s">
        <v>631</v>
      </c>
      <c r="D25" s="120">
        <v>0.65536723163841804</v>
      </c>
      <c r="F25" s="60" t="s">
        <v>631</v>
      </c>
      <c r="G25" s="120">
        <v>0.94770876717092545</v>
      </c>
      <c r="I25" s="89" t="s">
        <v>738</v>
      </c>
      <c r="J25" s="88">
        <v>20418</v>
      </c>
      <c r="K25" s="96" t="s">
        <v>741</v>
      </c>
    </row>
    <row r="26" spans="3:11" ht="15">
      <c r="C26" s="60" t="s">
        <v>632</v>
      </c>
      <c r="D26" s="120">
        <v>1.7746478873239437</v>
      </c>
      <c r="F26" s="60" t="s">
        <v>632</v>
      </c>
      <c r="G26" s="120">
        <v>1.2876424809800124</v>
      </c>
      <c r="I26" s="88" t="s">
        <v>108</v>
      </c>
      <c r="J26" s="88" t="s">
        <v>108</v>
      </c>
      <c r="K26" s="96" t="s">
        <v>22</v>
      </c>
    </row>
    <row r="27" spans="3:11" ht="15">
      <c r="C27" s="60" t="s">
        <v>633</v>
      </c>
      <c r="D27" s="120">
        <v>1.1010830324909748</v>
      </c>
      <c r="F27" s="60" t="s">
        <v>633</v>
      </c>
      <c r="G27" s="120">
        <v>1.0714860128575172</v>
      </c>
      <c r="I27" s="88" t="s">
        <v>106</v>
      </c>
      <c r="J27" s="88"/>
      <c r="K27" s="96" t="s">
        <v>22</v>
      </c>
    </row>
    <row r="28" spans="3:11" ht="15">
      <c r="C28" s="60" t="s">
        <v>732</v>
      </c>
      <c r="D28" s="120">
        <v>1.6153846153846154</v>
      </c>
      <c r="F28" s="60" t="s">
        <v>732</v>
      </c>
      <c r="G28" s="120">
        <v>1</v>
      </c>
      <c r="I28" s="88">
        <v>10294</v>
      </c>
      <c r="J28" s="88"/>
      <c r="K28" s="96" t="s">
        <v>22</v>
      </c>
    </row>
    <row r="29" spans="3:11" ht="15">
      <c r="C29" s="60" t="s">
        <v>634</v>
      </c>
      <c r="D29" s="120">
        <v>1.1076923076923078</v>
      </c>
      <c r="F29" s="60" t="s">
        <v>634</v>
      </c>
      <c r="G29" s="120">
        <v>1.3278679364025465</v>
      </c>
      <c r="I29" s="88"/>
      <c r="J29" s="88">
        <v>20294</v>
      </c>
      <c r="K29" s="96" t="s">
        <v>22</v>
      </c>
    </row>
    <row r="30" spans="3:11" ht="15">
      <c r="C30" s="60" t="s">
        <v>635</v>
      </c>
      <c r="D30" s="120">
        <v>0.81818181818181823</v>
      </c>
      <c r="F30" s="60" t="s">
        <v>635</v>
      </c>
      <c r="G30" s="120">
        <v>1.0124428131861827</v>
      </c>
      <c r="I30" s="88">
        <v>10417</v>
      </c>
      <c r="J30" s="88"/>
      <c r="K30" s="96" t="s">
        <v>741</v>
      </c>
    </row>
    <row r="31" spans="3:11" ht="15">
      <c r="C31" s="60" t="s">
        <v>636</v>
      </c>
      <c r="D31" s="120">
        <v>1.1075794621026895</v>
      </c>
      <c r="F31" s="60" t="s">
        <v>636</v>
      </c>
      <c r="G31" s="120">
        <v>1.0019402861006947</v>
      </c>
      <c r="I31" s="88" t="s">
        <v>105</v>
      </c>
      <c r="J31" s="88"/>
      <c r="K31" s="96" t="s">
        <v>22</v>
      </c>
    </row>
    <row r="32" spans="3:11" ht="15">
      <c r="C32" s="60" t="s">
        <v>637</v>
      </c>
      <c r="D32" s="120">
        <v>0.9285714285714286</v>
      </c>
      <c r="F32" s="60" t="s">
        <v>637</v>
      </c>
      <c r="G32" s="120">
        <v>1.4902424753411303</v>
      </c>
      <c r="I32" s="88"/>
      <c r="J32" s="88" t="s">
        <v>788</v>
      </c>
      <c r="K32" s="96" t="s">
        <v>22</v>
      </c>
    </row>
    <row r="33" spans="3:11" ht="15">
      <c r="C33" s="60" t="s">
        <v>677</v>
      </c>
      <c r="D33" s="120">
        <v>2.0588235294117645</v>
      </c>
      <c r="F33" s="60" t="s">
        <v>677</v>
      </c>
      <c r="G33" s="120">
        <v>1</v>
      </c>
      <c r="I33" s="88" t="s">
        <v>107</v>
      </c>
      <c r="J33" s="88"/>
      <c r="K33" s="96" t="s">
        <v>22</v>
      </c>
    </row>
    <row r="34" spans="3:11" ht="15">
      <c r="C34" s="60" t="s">
        <v>734</v>
      </c>
      <c r="D34" s="120">
        <v>2.2388059701492535</v>
      </c>
      <c r="F34" s="60" t="s">
        <v>734</v>
      </c>
      <c r="G34" s="120">
        <v>1</v>
      </c>
      <c r="I34" s="88">
        <v>10016</v>
      </c>
      <c r="J34" s="88">
        <v>10016</v>
      </c>
      <c r="K34" s="96" t="s">
        <v>29</v>
      </c>
    </row>
    <row r="35" spans="3:11" ht="15">
      <c r="C35" s="60" t="s">
        <v>638</v>
      </c>
      <c r="D35" s="120">
        <v>1.1128404669260701</v>
      </c>
      <c r="F35" s="60" t="s">
        <v>638</v>
      </c>
      <c r="G35" s="120">
        <v>1.0335960977326921</v>
      </c>
      <c r="I35" s="88">
        <v>10361</v>
      </c>
      <c r="J35" s="88">
        <v>10361</v>
      </c>
      <c r="K35" s="96" t="s">
        <v>16</v>
      </c>
    </row>
    <row r="36" spans="3:11" ht="15">
      <c r="C36" s="60" t="s">
        <v>639</v>
      </c>
      <c r="D36" s="120">
        <v>1.1229508196721312</v>
      </c>
      <c r="F36" s="60" t="s">
        <v>639</v>
      </c>
      <c r="G36" s="120">
        <v>1.025572806869369</v>
      </c>
      <c r="I36" s="88" t="s">
        <v>85</v>
      </c>
      <c r="J36" s="88" t="s">
        <v>85</v>
      </c>
      <c r="K36" s="96" t="s">
        <v>802</v>
      </c>
    </row>
    <row r="37" spans="3:11" ht="15">
      <c r="C37" s="60" t="s">
        <v>640</v>
      </c>
      <c r="D37" s="120">
        <v>1.1556886227544909</v>
      </c>
      <c r="F37" s="60" t="s">
        <v>640</v>
      </c>
      <c r="G37" s="120">
        <v>0.85812738952745904</v>
      </c>
      <c r="I37" s="88"/>
      <c r="J37" s="88">
        <v>20352</v>
      </c>
      <c r="K37" s="96" t="s">
        <v>803</v>
      </c>
    </row>
    <row r="38" spans="3:11" ht="15">
      <c r="C38" s="60" t="s">
        <v>641</v>
      </c>
      <c r="D38" s="120">
        <v>1.1698113207547169</v>
      </c>
      <c r="F38" s="60" t="s">
        <v>641</v>
      </c>
      <c r="G38" s="120">
        <v>0.84912464516128949</v>
      </c>
      <c r="I38" s="88">
        <v>10359</v>
      </c>
      <c r="J38" s="88"/>
      <c r="K38" s="96" t="s">
        <v>804</v>
      </c>
    </row>
    <row r="39" spans="3:11" ht="15">
      <c r="C39" s="60" t="s">
        <v>736</v>
      </c>
      <c r="D39" s="120">
        <v>0.765625</v>
      </c>
      <c r="F39" s="60" t="s">
        <v>736</v>
      </c>
      <c r="G39" s="120" t="s">
        <v>841</v>
      </c>
      <c r="I39" s="88">
        <v>20277</v>
      </c>
      <c r="J39" s="88">
        <v>20277</v>
      </c>
      <c r="K39" s="96" t="s">
        <v>805</v>
      </c>
    </row>
    <row r="40" spans="3:11" ht="15">
      <c r="C40" s="59" t="s">
        <v>870</v>
      </c>
      <c r="D40" s="120">
        <v>1.0436893203883495</v>
      </c>
      <c r="F40" s="59" t="s">
        <v>870</v>
      </c>
      <c r="G40" s="120">
        <v>0.88115304713192788</v>
      </c>
      <c r="I40" s="88"/>
      <c r="J40" s="88">
        <v>20359</v>
      </c>
      <c r="K40" s="96" t="s">
        <v>804</v>
      </c>
    </row>
    <row r="41" spans="3:11" ht="15">
      <c r="C41" s="60" t="s">
        <v>642</v>
      </c>
      <c r="D41" s="120">
        <v>1.4750000000000001</v>
      </c>
      <c r="F41" s="60" t="s">
        <v>642</v>
      </c>
      <c r="G41" s="120">
        <v>2.3836508883993446</v>
      </c>
      <c r="I41" s="88" t="s">
        <v>114</v>
      </c>
      <c r="J41" s="88"/>
      <c r="K41" s="96" t="s">
        <v>805</v>
      </c>
    </row>
    <row r="42" spans="3:11" ht="15">
      <c r="C42" s="60" t="s">
        <v>643</v>
      </c>
      <c r="D42" s="120">
        <v>1.1923076923076923</v>
      </c>
      <c r="F42" s="60" t="s">
        <v>643</v>
      </c>
      <c r="G42" s="120">
        <v>0.96002859457182099</v>
      </c>
      <c r="I42" s="88" t="s">
        <v>113</v>
      </c>
      <c r="J42" s="88"/>
      <c r="K42" s="96" t="s">
        <v>805</v>
      </c>
    </row>
    <row r="43" spans="3:11" ht="15">
      <c r="C43" s="60" t="s">
        <v>644</v>
      </c>
      <c r="D43" s="120">
        <v>1.1283783783783783</v>
      </c>
      <c r="F43" s="60" t="s">
        <v>644</v>
      </c>
      <c r="G43" s="120">
        <v>0.81185445677570067</v>
      </c>
      <c r="I43" s="88">
        <v>10352</v>
      </c>
      <c r="J43" s="88"/>
      <c r="K43" s="96" t="s">
        <v>803</v>
      </c>
    </row>
    <row r="44" spans="3:11" ht="15">
      <c r="C44" s="60" t="s">
        <v>645</v>
      </c>
      <c r="D44" s="120">
        <v>0.78604651162790695</v>
      </c>
      <c r="F44" s="60" t="s">
        <v>645</v>
      </c>
      <c r="G44" s="120">
        <v>0.76328388086142807</v>
      </c>
      <c r="I44" s="88"/>
      <c r="J44" s="88">
        <v>20363</v>
      </c>
      <c r="K44" s="96" t="s">
        <v>804</v>
      </c>
    </row>
    <row r="45" spans="3:11" ht="15">
      <c r="C45" s="60" t="s">
        <v>646</v>
      </c>
      <c r="D45" s="120">
        <v>1.5256410256410255</v>
      </c>
      <c r="F45" s="60" t="s">
        <v>646</v>
      </c>
      <c r="G45" s="120">
        <v>2.5248509789261853</v>
      </c>
      <c r="I45" s="93"/>
      <c r="J45" s="93">
        <v>20281</v>
      </c>
      <c r="K45" s="96" t="s">
        <v>805</v>
      </c>
    </row>
    <row r="46" spans="3:11" ht="15">
      <c r="C46" s="60" t="s">
        <v>647</v>
      </c>
      <c r="D46" s="120">
        <v>1.0909090909090908</v>
      </c>
      <c r="F46" s="60" t="s">
        <v>647</v>
      </c>
      <c r="G46" s="120">
        <v>1.0464409361008269</v>
      </c>
      <c r="I46" s="88">
        <v>10409</v>
      </c>
      <c r="J46" s="88"/>
      <c r="K46" s="96" t="s">
        <v>690</v>
      </c>
    </row>
    <row r="47" spans="3:11" ht="15">
      <c r="C47" s="60" t="s">
        <v>648</v>
      </c>
      <c r="D47" s="120">
        <v>1.6346153846153846</v>
      </c>
      <c r="F47" s="60" t="s">
        <v>648</v>
      </c>
      <c r="G47" s="120">
        <v>1.2329679746835449</v>
      </c>
      <c r="I47" s="88"/>
      <c r="J47" s="88">
        <v>20279</v>
      </c>
      <c r="K47" s="96" t="s">
        <v>690</v>
      </c>
    </row>
    <row r="48" spans="3:11" ht="15">
      <c r="C48" s="60" t="s">
        <v>649</v>
      </c>
      <c r="D48" s="120">
        <v>1.5075528700906344</v>
      </c>
      <c r="F48" s="60" t="s">
        <v>649</v>
      </c>
      <c r="G48" s="120">
        <v>0.66234136389278475</v>
      </c>
      <c r="I48" s="88">
        <v>10363</v>
      </c>
      <c r="J48" s="88"/>
      <c r="K48" s="96" t="s">
        <v>804</v>
      </c>
    </row>
    <row r="49" spans="3:11" ht="15">
      <c r="C49" s="60" t="s">
        <v>650</v>
      </c>
      <c r="D49" s="120">
        <v>1.1397058823529411</v>
      </c>
      <c r="F49" s="60" t="s">
        <v>650</v>
      </c>
      <c r="G49" s="120">
        <v>0.84831142729480491</v>
      </c>
      <c r="I49" s="88">
        <v>10420</v>
      </c>
      <c r="J49" s="88"/>
      <c r="K49" s="96" t="s">
        <v>690</v>
      </c>
    </row>
    <row r="50" spans="3:11" ht="15">
      <c r="C50" s="60" t="s">
        <v>651</v>
      </c>
      <c r="D50" s="120">
        <v>1.0896551724137931</v>
      </c>
      <c r="F50" s="60" t="s">
        <v>651</v>
      </c>
      <c r="G50" s="120">
        <v>1.146300863569206</v>
      </c>
      <c r="I50" s="88">
        <v>10281</v>
      </c>
      <c r="J50" s="88"/>
      <c r="K50" s="96" t="s">
        <v>805</v>
      </c>
    </row>
    <row r="51" spans="3:11" ht="15">
      <c r="C51" s="60" t="s">
        <v>652</v>
      </c>
      <c r="D51" s="120">
        <v>1</v>
      </c>
      <c r="F51" s="60" t="s">
        <v>652</v>
      </c>
      <c r="G51" s="120">
        <v>1.1173117916918902</v>
      </c>
      <c r="I51" s="88">
        <v>10408</v>
      </c>
      <c r="J51" s="88"/>
      <c r="K51" s="96" t="s">
        <v>700</v>
      </c>
    </row>
    <row r="52" spans="3:11" ht="15">
      <c r="C52" s="60" t="s">
        <v>653</v>
      </c>
      <c r="D52" s="120">
        <v>1.1104294478527608</v>
      </c>
      <c r="F52" s="60" t="s">
        <v>653</v>
      </c>
      <c r="G52" s="120">
        <v>0.98689205863964957</v>
      </c>
      <c r="I52" s="88" t="s">
        <v>84</v>
      </c>
      <c r="J52" s="88" t="s">
        <v>84</v>
      </c>
      <c r="K52" s="96" t="s">
        <v>802</v>
      </c>
    </row>
    <row r="53" spans="3:11" ht="15">
      <c r="C53" s="60" t="s">
        <v>654</v>
      </c>
      <c r="D53" s="120">
        <v>1.7428571428571429</v>
      </c>
      <c r="F53" s="60" t="s">
        <v>654</v>
      </c>
      <c r="G53" s="120">
        <v>1.0600319125103892</v>
      </c>
      <c r="I53" s="88" t="s">
        <v>775</v>
      </c>
      <c r="J53" s="88" t="s">
        <v>782</v>
      </c>
      <c r="K53" s="96" t="s">
        <v>802</v>
      </c>
    </row>
    <row r="54" spans="3:11" ht="15">
      <c r="C54" s="60" t="s">
        <v>655</v>
      </c>
      <c r="D54" s="120">
        <v>1.2795698924731183</v>
      </c>
      <c r="F54" s="60" t="s">
        <v>655</v>
      </c>
      <c r="G54" s="120">
        <v>0.92514050657090385</v>
      </c>
      <c r="I54" s="88"/>
      <c r="J54" s="88">
        <v>20330</v>
      </c>
      <c r="K54" s="96" t="s">
        <v>802</v>
      </c>
    </row>
    <row r="55" spans="3:11" ht="15">
      <c r="C55" s="60" t="s">
        <v>660</v>
      </c>
      <c r="D55" s="120">
        <v>1.1236363636363635</v>
      </c>
      <c r="F55" s="60" t="s">
        <v>660</v>
      </c>
      <c r="G55" s="120">
        <v>0.76784345261653963</v>
      </c>
      <c r="I55" s="88">
        <v>10330</v>
      </c>
      <c r="J55" s="88"/>
      <c r="K55" s="96" t="s">
        <v>802</v>
      </c>
    </row>
    <row r="56" spans="3:11" ht="15">
      <c r="C56" s="60" t="s">
        <v>659</v>
      </c>
      <c r="D56" s="120">
        <v>1.3571428571428572</v>
      </c>
      <c r="F56" s="60" t="s">
        <v>659</v>
      </c>
      <c r="G56" s="120">
        <v>1</v>
      </c>
      <c r="I56" s="88">
        <v>10394</v>
      </c>
      <c r="J56" s="88">
        <v>10394</v>
      </c>
      <c r="K56" s="96" t="s">
        <v>56</v>
      </c>
    </row>
    <row r="57" spans="3:11" ht="15">
      <c r="C57" s="60" t="s">
        <v>656</v>
      </c>
      <c r="D57" s="120">
        <v>1.1153846153846154</v>
      </c>
      <c r="F57" s="60" t="s">
        <v>656</v>
      </c>
      <c r="G57" s="120">
        <v>1.0517851705729162</v>
      </c>
      <c r="I57" s="88">
        <v>10288</v>
      </c>
      <c r="J57" s="88">
        <v>10288</v>
      </c>
      <c r="K57" s="96" t="s">
        <v>806</v>
      </c>
    </row>
    <row r="58" spans="3:11" ht="15">
      <c r="C58" s="60" t="s">
        <v>657</v>
      </c>
      <c r="D58" s="120">
        <v>1.7268292682926829</v>
      </c>
      <c r="F58" s="60" t="s">
        <v>657</v>
      </c>
      <c r="G58" s="120">
        <v>0.9910382513586945</v>
      </c>
      <c r="I58" s="88" t="s">
        <v>81</v>
      </c>
      <c r="J58" s="88"/>
      <c r="K58" s="96" t="s">
        <v>806</v>
      </c>
    </row>
    <row r="59" spans="3:11" ht="15">
      <c r="C59" s="60" t="s">
        <v>658</v>
      </c>
      <c r="D59" s="120">
        <v>1.0533333333333332</v>
      </c>
      <c r="F59" s="60" t="s">
        <v>658</v>
      </c>
      <c r="G59" s="120">
        <v>0.88570160536653986</v>
      </c>
      <c r="I59" s="88">
        <v>10100</v>
      </c>
      <c r="J59" s="88">
        <v>10100</v>
      </c>
      <c r="K59" s="96" t="s">
        <v>807</v>
      </c>
    </row>
    <row r="60" spans="3:11" ht="15">
      <c r="C60" s="60" t="s">
        <v>661</v>
      </c>
      <c r="D60" s="120">
        <v>1.1801242236024845</v>
      </c>
      <c r="F60" s="60" t="s">
        <v>661</v>
      </c>
      <c r="G60" s="120">
        <v>0.84625037376282475</v>
      </c>
      <c r="I60" s="88">
        <v>10395</v>
      </c>
      <c r="J60" s="88"/>
      <c r="K60" s="96" t="s">
        <v>700</v>
      </c>
    </row>
    <row r="61" spans="3:11" ht="15">
      <c r="C61" s="60" t="s">
        <v>662</v>
      </c>
      <c r="D61" s="120">
        <v>0.93406593406593408</v>
      </c>
      <c r="F61" s="60" t="s">
        <v>662</v>
      </c>
      <c r="G61" s="120">
        <v>1.0317434072651062</v>
      </c>
      <c r="I61" s="88">
        <v>10358</v>
      </c>
      <c r="J61" s="88">
        <v>10358</v>
      </c>
      <c r="K61" s="96" t="s">
        <v>7</v>
      </c>
    </row>
    <row r="62" spans="3:11" ht="15">
      <c r="C62" s="60" t="s">
        <v>663</v>
      </c>
      <c r="D62" s="120">
        <v>1.1223404255319149</v>
      </c>
      <c r="F62" s="60" t="s">
        <v>663</v>
      </c>
      <c r="G62" s="120">
        <v>1.1469940194437598</v>
      </c>
      <c r="I62" s="88" t="s">
        <v>764</v>
      </c>
      <c r="J62" s="88"/>
      <c r="K62" s="96" t="s">
        <v>807</v>
      </c>
    </row>
    <row r="63" spans="3:11" ht="15">
      <c r="C63" s="60" t="s">
        <v>664</v>
      </c>
      <c r="D63" s="120">
        <v>0.80597014925373134</v>
      </c>
      <c r="F63" s="60" t="s">
        <v>664</v>
      </c>
      <c r="G63" s="120">
        <v>1.0633749606576652</v>
      </c>
      <c r="I63" s="88" t="s">
        <v>83</v>
      </c>
      <c r="J63" s="88" t="s">
        <v>83</v>
      </c>
      <c r="K63" s="96" t="s">
        <v>807</v>
      </c>
    </row>
    <row r="64" spans="3:11" ht="15">
      <c r="C64" s="60" t="s">
        <v>666</v>
      </c>
      <c r="D64" s="120">
        <v>1.1272727272727272</v>
      </c>
      <c r="F64" s="60" t="s">
        <v>666</v>
      </c>
      <c r="G64" s="120">
        <v>0.79914089597061522</v>
      </c>
      <c r="I64" s="88" t="s">
        <v>82</v>
      </c>
      <c r="J64" s="88" t="s">
        <v>82</v>
      </c>
      <c r="K64" s="96" t="s">
        <v>807</v>
      </c>
    </row>
    <row r="65" spans="3:11" ht="15">
      <c r="C65" s="60" t="s">
        <v>667</v>
      </c>
      <c r="D65" s="120">
        <v>0.96261682242990654</v>
      </c>
      <c r="F65" s="60" t="s">
        <v>667</v>
      </c>
      <c r="G65" s="120">
        <v>0.95686463590348025</v>
      </c>
      <c r="I65" s="88" t="s">
        <v>80</v>
      </c>
      <c r="J65" s="88" t="s">
        <v>80</v>
      </c>
      <c r="K65" s="96" t="s">
        <v>806</v>
      </c>
    </row>
    <row r="66" spans="3:11" ht="15">
      <c r="C66" s="59" t="s">
        <v>678</v>
      </c>
      <c r="D66" s="120">
        <v>1.0289389067524115</v>
      </c>
      <c r="F66" s="59" t="s">
        <v>678</v>
      </c>
      <c r="G66" s="120">
        <v>0.7879462973401854</v>
      </c>
      <c r="I66" s="88" t="s">
        <v>186</v>
      </c>
      <c r="J66" s="88"/>
      <c r="K66" s="96" t="s">
        <v>56</v>
      </c>
    </row>
    <row r="67" spans="3:11" ht="15">
      <c r="C67" s="60" t="s">
        <v>668</v>
      </c>
      <c r="D67" s="120">
        <v>1.2611940298507462</v>
      </c>
      <c r="F67" s="60" t="s">
        <v>668</v>
      </c>
      <c r="G67" s="120">
        <v>0.98262840845437815</v>
      </c>
      <c r="I67" s="88">
        <v>10202</v>
      </c>
      <c r="J67" s="88">
        <v>10202</v>
      </c>
      <c r="K67" s="96" t="s">
        <v>808</v>
      </c>
    </row>
    <row r="68" spans="3:11" ht="15">
      <c r="C68" s="60" t="s">
        <v>669</v>
      </c>
      <c r="D68" s="120">
        <v>1.1372549019607843</v>
      </c>
      <c r="F68" s="60" t="s">
        <v>669</v>
      </c>
      <c r="G68" s="120">
        <v>0.78541524120874839</v>
      </c>
      <c r="I68" s="88" t="s">
        <v>88</v>
      </c>
      <c r="J68" s="88" t="s">
        <v>88</v>
      </c>
      <c r="K68" s="96" t="s">
        <v>808</v>
      </c>
    </row>
    <row r="69" spans="3:11" ht="15">
      <c r="C69" s="60" t="s">
        <v>670</v>
      </c>
      <c r="D69" s="120">
        <v>1.5743243243243243</v>
      </c>
      <c r="F69" s="60" t="s">
        <v>670</v>
      </c>
      <c r="G69" s="120">
        <v>1.1069477931669036</v>
      </c>
      <c r="I69" s="88">
        <v>10292</v>
      </c>
      <c r="J69" s="88"/>
      <c r="K69" s="101" t="s">
        <v>809</v>
      </c>
    </row>
    <row r="70" spans="3:11" ht="15">
      <c r="C70" s="60" t="s">
        <v>671</v>
      </c>
      <c r="D70" s="120">
        <v>1.1099476439790577</v>
      </c>
      <c r="F70" s="60" t="s">
        <v>671</v>
      </c>
      <c r="G70" s="120">
        <v>1.7458952707896365</v>
      </c>
      <c r="I70" s="88"/>
      <c r="J70" s="88">
        <v>20292</v>
      </c>
      <c r="K70" s="96" t="s">
        <v>809</v>
      </c>
    </row>
    <row r="71" spans="3:11" ht="15">
      <c r="C71" s="60" t="s">
        <v>672</v>
      </c>
      <c r="D71" s="120">
        <v>0.82507739938080493</v>
      </c>
      <c r="F71" s="60" t="s">
        <v>672</v>
      </c>
      <c r="G71" s="120">
        <v>0.86613904495071203</v>
      </c>
      <c r="I71" s="88">
        <v>10414</v>
      </c>
      <c r="J71" s="88"/>
      <c r="K71" s="96" t="s">
        <v>810</v>
      </c>
    </row>
    <row r="72" spans="3:11" ht="15">
      <c r="C72" s="60" t="s">
        <v>673</v>
      </c>
      <c r="D72" s="120">
        <v>1.106060606060606</v>
      </c>
      <c r="F72" s="60" t="s">
        <v>673</v>
      </c>
      <c r="G72" s="120">
        <v>1.4220449523004577</v>
      </c>
      <c r="I72" s="88">
        <v>10377</v>
      </c>
      <c r="J72" s="88"/>
      <c r="K72" s="96" t="s">
        <v>24</v>
      </c>
    </row>
    <row r="73" spans="3:11" ht="15">
      <c r="C73" s="60" t="s">
        <v>674</v>
      </c>
      <c r="D73" s="120">
        <v>1.1424242424242423</v>
      </c>
      <c r="F73" s="60" t="s">
        <v>674</v>
      </c>
      <c r="G73" s="120">
        <v>1.0509370766310646</v>
      </c>
      <c r="I73" s="93"/>
      <c r="J73" s="93">
        <v>20377</v>
      </c>
      <c r="K73" s="96" t="s">
        <v>24</v>
      </c>
    </row>
    <row r="74" spans="3:11" ht="15">
      <c r="C74" s="60" t="s">
        <v>675</v>
      </c>
      <c r="D74" s="120">
        <v>1.4615384615384615</v>
      </c>
      <c r="F74" s="60" t="s">
        <v>675</v>
      </c>
      <c r="G74" s="120">
        <v>2.5072516211957017</v>
      </c>
      <c r="I74" s="88">
        <v>10018</v>
      </c>
      <c r="J74" s="88">
        <v>10018</v>
      </c>
      <c r="K74" s="96" t="s">
        <v>29</v>
      </c>
    </row>
    <row r="75" spans="3:11" ht="15">
      <c r="C75" s="60" t="s">
        <v>676</v>
      </c>
      <c r="D75" s="120">
        <v>1</v>
      </c>
      <c r="F75" s="60" t="s">
        <v>676</v>
      </c>
      <c r="G75" s="120">
        <v>1.1594681955949944</v>
      </c>
      <c r="I75" s="88">
        <v>10017</v>
      </c>
      <c r="J75" s="88">
        <v>10017</v>
      </c>
      <c r="K75" s="96" t="s">
        <v>29</v>
      </c>
    </row>
    <row r="76" spans="3:11" ht="15">
      <c r="C76" s="60" t="s">
        <v>665</v>
      </c>
      <c r="D76" s="120">
        <v>1.1353383458646618</v>
      </c>
      <c r="F76" s="60" t="s">
        <v>665</v>
      </c>
      <c r="G76" s="120">
        <v>1.0952000785139853</v>
      </c>
      <c r="I76" s="88">
        <v>10398</v>
      </c>
      <c r="J76" s="88"/>
      <c r="K76" s="96" t="s">
        <v>7</v>
      </c>
    </row>
    <row r="77" spans="3:11" ht="15">
      <c r="C77" s="63" t="s">
        <v>757</v>
      </c>
      <c r="D77" s="120">
        <v>1.8285714285714285</v>
      </c>
      <c r="F77" s="63" t="s">
        <v>757</v>
      </c>
      <c r="G77" s="120">
        <v>1</v>
      </c>
      <c r="I77" s="88" t="s">
        <v>763</v>
      </c>
      <c r="J77" s="88"/>
      <c r="K77" s="96" t="s">
        <v>7</v>
      </c>
    </row>
    <row r="78" spans="3:11" ht="15">
      <c r="C78" s="63" t="s">
        <v>754</v>
      </c>
      <c r="D78" s="120">
        <v>3.2666666666666666</v>
      </c>
      <c r="F78" s="63" t="s">
        <v>754</v>
      </c>
      <c r="G78" s="120">
        <v>1</v>
      </c>
      <c r="I78" s="88" t="s">
        <v>153</v>
      </c>
      <c r="J78" s="88" t="s">
        <v>153</v>
      </c>
      <c r="K78" s="96" t="s">
        <v>811</v>
      </c>
    </row>
    <row r="79" spans="3:11" ht="15">
      <c r="C79" s="63" t="s">
        <v>755</v>
      </c>
      <c r="D79" s="120">
        <v>1.4285714285714286</v>
      </c>
      <c r="F79" s="63" t="s">
        <v>755</v>
      </c>
      <c r="G79" s="120">
        <v>1</v>
      </c>
      <c r="I79" s="88" t="s">
        <v>150</v>
      </c>
      <c r="J79" s="88" t="s">
        <v>150</v>
      </c>
      <c r="K79" s="96" t="s">
        <v>811</v>
      </c>
    </row>
    <row r="80" spans="3:11" ht="15">
      <c r="C80" s="119" t="s">
        <v>837</v>
      </c>
      <c r="D80" s="120">
        <v>2.6875</v>
      </c>
      <c r="F80" s="119" t="s">
        <v>837</v>
      </c>
      <c r="G80" s="120">
        <v>1</v>
      </c>
      <c r="I80" s="88" t="s">
        <v>96</v>
      </c>
      <c r="J80" s="88"/>
      <c r="K80" s="96" t="s">
        <v>812</v>
      </c>
    </row>
    <row r="81" spans="9:11" ht="15">
      <c r="I81" s="88" t="s">
        <v>696</v>
      </c>
      <c r="J81" s="88"/>
      <c r="K81" s="96" t="s">
        <v>44</v>
      </c>
    </row>
    <row r="82" spans="9:11" ht="15">
      <c r="I82" s="88"/>
      <c r="J82" s="88" t="s">
        <v>789</v>
      </c>
      <c r="K82" s="96" t="s">
        <v>811</v>
      </c>
    </row>
    <row r="83" spans="9:11" ht="15">
      <c r="I83" s="88" t="s">
        <v>193</v>
      </c>
      <c r="J83" s="88"/>
      <c r="K83" s="96" t="s">
        <v>811</v>
      </c>
    </row>
    <row r="84" spans="9:11" ht="15">
      <c r="I84" s="88"/>
      <c r="J84" s="88">
        <v>20290</v>
      </c>
      <c r="K84" s="96" t="s">
        <v>811</v>
      </c>
    </row>
    <row r="85" spans="9:11" ht="15">
      <c r="I85" s="88">
        <v>10290</v>
      </c>
      <c r="J85" s="88"/>
      <c r="K85" s="96" t="s">
        <v>811</v>
      </c>
    </row>
    <row r="86" spans="9:11" ht="15">
      <c r="I86" s="88" t="s">
        <v>151</v>
      </c>
      <c r="J86" s="88"/>
      <c r="K86" s="96" t="s">
        <v>811</v>
      </c>
    </row>
    <row r="87" spans="9:11" ht="15">
      <c r="I87" s="88" t="s">
        <v>187</v>
      </c>
      <c r="J87" s="88"/>
      <c r="K87" s="96" t="s">
        <v>811</v>
      </c>
    </row>
    <row r="88" spans="9:11" ht="15">
      <c r="I88" s="88"/>
      <c r="J88" s="88">
        <v>20396</v>
      </c>
      <c r="K88" s="96" t="s">
        <v>57</v>
      </c>
    </row>
    <row r="89" spans="9:11" ht="15">
      <c r="I89" s="88">
        <v>10396</v>
      </c>
      <c r="J89" s="88"/>
      <c r="K89" s="96" t="s">
        <v>57</v>
      </c>
    </row>
    <row r="90" spans="9:11" ht="15">
      <c r="I90" s="88">
        <v>10356</v>
      </c>
      <c r="J90" s="88">
        <v>10356</v>
      </c>
      <c r="K90" s="96" t="s">
        <v>812</v>
      </c>
    </row>
    <row r="91" spans="9:11" ht="15">
      <c r="I91" s="88" t="s">
        <v>152</v>
      </c>
      <c r="J91" s="88" t="s">
        <v>152</v>
      </c>
      <c r="K91" s="96" t="s">
        <v>811</v>
      </c>
    </row>
    <row r="92" spans="9:11" ht="15">
      <c r="I92" s="88">
        <v>10392</v>
      </c>
      <c r="J92" s="88">
        <v>10392</v>
      </c>
      <c r="K92" s="96" t="s">
        <v>44</v>
      </c>
    </row>
    <row r="93" spans="9:11" ht="15">
      <c r="I93" s="88">
        <v>10336</v>
      </c>
      <c r="J93" s="88">
        <v>10336</v>
      </c>
      <c r="K93" s="96" t="s">
        <v>813</v>
      </c>
    </row>
    <row r="94" spans="9:11" ht="15">
      <c r="I94" s="88" t="s">
        <v>776</v>
      </c>
      <c r="J94" s="88"/>
      <c r="K94" s="96" t="s">
        <v>813</v>
      </c>
    </row>
    <row r="95" spans="9:11" ht="15">
      <c r="I95" s="88">
        <v>10367</v>
      </c>
      <c r="J95" s="88">
        <v>10367</v>
      </c>
      <c r="K95" s="96" t="s">
        <v>814</v>
      </c>
    </row>
    <row r="96" spans="9:11" ht="15">
      <c r="I96" s="88">
        <v>10393</v>
      </c>
      <c r="J96" s="88">
        <v>10393</v>
      </c>
      <c r="K96" s="96" t="s">
        <v>31</v>
      </c>
    </row>
    <row r="97" spans="9:11" ht="15">
      <c r="I97" s="88">
        <v>10403</v>
      </c>
      <c r="J97" s="88">
        <v>10403</v>
      </c>
      <c r="K97" s="96" t="s">
        <v>69</v>
      </c>
    </row>
    <row r="98" spans="9:11" ht="15">
      <c r="I98" s="88"/>
      <c r="J98" s="88">
        <v>20369</v>
      </c>
      <c r="K98" s="96" t="s">
        <v>51</v>
      </c>
    </row>
    <row r="99" spans="9:11" ht="15">
      <c r="I99" s="88">
        <v>10369</v>
      </c>
      <c r="J99" s="88"/>
      <c r="K99" s="96" t="s">
        <v>51</v>
      </c>
    </row>
    <row r="100" spans="9:11" ht="15">
      <c r="I100" s="88">
        <v>10401</v>
      </c>
      <c r="J100" s="88"/>
      <c r="K100" s="96" t="s">
        <v>66</v>
      </c>
    </row>
    <row r="101" spans="9:11" ht="15">
      <c r="I101" s="88"/>
      <c r="J101" s="88">
        <v>20401</v>
      </c>
      <c r="K101" s="96" t="s">
        <v>66</v>
      </c>
    </row>
    <row r="102" spans="9:11" ht="15">
      <c r="I102" s="88">
        <v>10412</v>
      </c>
      <c r="J102" s="88"/>
      <c r="K102" s="96" t="s">
        <v>51</v>
      </c>
    </row>
    <row r="103" spans="9:11" ht="15">
      <c r="I103" s="88" t="s">
        <v>167</v>
      </c>
      <c r="J103" s="88"/>
      <c r="K103" s="96" t="s">
        <v>51</v>
      </c>
    </row>
    <row r="104" spans="9:11" ht="15">
      <c r="I104" s="89"/>
      <c r="J104" s="89" t="s">
        <v>790</v>
      </c>
      <c r="K104" s="97" t="s">
        <v>51</v>
      </c>
    </row>
    <row r="105" spans="9:11" ht="15">
      <c r="I105" s="88" t="s">
        <v>86</v>
      </c>
      <c r="J105" s="88" t="s">
        <v>86</v>
      </c>
      <c r="K105" s="96" t="s">
        <v>802</v>
      </c>
    </row>
    <row r="106" spans="9:11" ht="15">
      <c r="I106" s="88" t="s">
        <v>87</v>
      </c>
      <c r="J106" s="88" t="s">
        <v>87</v>
      </c>
      <c r="K106" s="96" t="s">
        <v>814</v>
      </c>
    </row>
    <row r="107" spans="9:11" ht="15">
      <c r="I107" s="88" t="s">
        <v>192</v>
      </c>
      <c r="J107" s="88"/>
      <c r="K107" s="96" t="s">
        <v>67</v>
      </c>
    </row>
    <row r="108" spans="9:11" ht="15">
      <c r="I108" s="88"/>
      <c r="J108" s="88">
        <v>20365</v>
      </c>
      <c r="K108" s="96" t="s">
        <v>815</v>
      </c>
    </row>
    <row r="109" spans="9:11" ht="15">
      <c r="I109" s="88">
        <v>10365</v>
      </c>
      <c r="J109" s="88"/>
      <c r="K109" s="96" t="s">
        <v>815</v>
      </c>
    </row>
    <row r="110" spans="9:11" ht="15">
      <c r="I110" s="88">
        <v>10402</v>
      </c>
      <c r="J110" s="88">
        <v>20402</v>
      </c>
      <c r="K110" s="96" t="s">
        <v>67</v>
      </c>
    </row>
    <row r="111" spans="9:11" ht="15">
      <c r="I111" s="88" t="s">
        <v>79</v>
      </c>
      <c r="J111" s="88" t="s">
        <v>79</v>
      </c>
      <c r="K111" s="96" t="s">
        <v>815</v>
      </c>
    </row>
    <row r="112" spans="9:11" ht="15">
      <c r="I112" s="88"/>
      <c r="J112" s="88">
        <v>20364</v>
      </c>
      <c r="K112" s="96" t="s">
        <v>11</v>
      </c>
    </row>
    <row r="113" spans="9:11" ht="15">
      <c r="I113" s="88">
        <v>10364</v>
      </c>
      <c r="J113" s="88"/>
      <c r="K113" s="96" t="s">
        <v>11</v>
      </c>
    </row>
    <row r="114" spans="9:11" ht="15">
      <c r="I114" s="88">
        <v>10387</v>
      </c>
      <c r="J114" s="88">
        <v>10387</v>
      </c>
      <c r="K114" s="96" t="s">
        <v>33</v>
      </c>
    </row>
    <row r="115" spans="9:11" ht="15">
      <c r="I115" s="88" t="s">
        <v>128</v>
      </c>
      <c r="J115" s="88"/>
      <c r="K115" s="96" t="s">
        <v>33</v>
      </c>
    </row>
    <row r="116" spans="9:11" ht="15">
      <c r="I116" s="88">
        <v>10416</v>
      </c>
      <c r="J116" s="88"/>
      <c r="K116" s="96" t="s">
        <v>67</v>
      </c>
    </row>
    <row r="117" spans="9:11" ht="15">
      <c r="I117" s="88" t="s">
        <v>131</v>
      </c>
      <c r="J117" s="88" t="s">
        <v>131</v>
      </c>
      <c r="K117" s="96" t="s">
        <v>816</v>
      </c>
    </row>
    <row r="118" spans="9:11" ht="15">
      <c r="I118" s="88" t="s">
        <v>120</v>
      </c>
      <c r="J118" s="88" t="s">
        <v>120</v>
      </c>
      <c r="K118" s="96" t="s">
        <v>817</v>
      </c>
    </row>
    <row r="119" spans="9:11" ht="15">
      <c r="I119" s="88" t="s">
        <v>132</v>
      </c>
      <c r="J119" s="88" t="s">
        <v>132</v>
      </c>
      <c r="K119" s="96" t="s">
        <v>816</v>
      </c>
    </row>
    <row r="120" spans="9:11" ht="15">
      <c r="I120" s="88" t="s">
        <v>118</v>
      </c>
      <c r="J120" s="88" t="s">
        <v>118</v>
      </c>
      <c r="K120" s="96" t="s">
        <v>817</v>
      </c>
    </row>
    <row r="121" spans="9:11" ht="15">
      <c r="I121" s="88" t="s">
        <v>119</v>
      </c>
      <c r="J121" s="88" t="s">
        <v>119</v>
      </c>
      <c r="K121" s="96" t="s">
        <v>817</v>
      </c>
    </row>
    <row r="122" spans="9:11" ht="15">
      <c r="I122" s="88">
        <v>10371</v>
      </c>
      <c r="J122" s="88"/>
      <c r="K122" s="96" t="s">
        <v>816</v>
      </c>
    </row>
    <row r="123" spans="9:11" ht="15">
      <c r="I123" s="88"/>
      <c r="J123" s="88">
        <v>20371</v>
      </c>
      <c r="K123" s="96" t="s">
        <v>816</v>
      </c>
    </row>
    <row r="124" spans="9:11" ht="15">
      <c r="I124" s="88">
        <v>26012</v>
      </c>
      <c r="J124" s="88">
        <v>26012</v>
      </c>
      <c r="K124" s="96" t="s">
        <v>817</v>
      </c>
    </row>
    <row r="125" spans="9:11" ht="15">
      <c r="I125" s="88">
        <v>22012</v>
      </c>
      <c r="J125" s="88">
        <v>22012</v>
      </c>
      <c r="K125" s="96" t="s">
        <v>817</v>
      </c>
    </row>
    <row r="126" spans="9:11" ht="15">
      <c r="I126" s="88" t="s">
        <v>147</v>
      </c>
      <c r="J126" s="88"/>
      <c r="K126" s="96" t="s">
        <v>38</v>
      </c>
    </row>
    <row r="127" spans="9:11" ht="15">
      <c r="I127" s="88" t="s">
        <v>134</v>
      </c>
      <c r="J127" s="88" t="s">
        <v>134</v>
      </c>
      <c r="K127" s="96" t="s">
        <v>816</v>
      </c>
    </row>
    <row r="128" spans="9:11" ht="15">
      <c r="I128" s="91"/>
      <c r="J128" s="91">
        <v>20410</v>
      </c>
      <c r="K128" s="98" t="s">
        <v>699</v>
      </c>
    </row>
    <row r="129" spans="9:11" ht="15">
      <c r="I129" s="88" t="s">
        <v>146</v>
      </c>
      <c r="J129" s="88"/>
      <c r="K129" s="96" t="s">
        <v>818</v>
      </c>
    </row>
    <row r="130" spans="9:11" ht="15">
      <c r="I130" s="88" t="s">
        <v>145</v>
      </c>
      <c r="J130" s="88"/>
      <c r="K130" s="96" t="s">
        <v>818</v>
      </c>
    </row>
    <row r="131" spans="9:11" ht="15">
      <c r="I131" s="88"/>
      <c r="J131" s="88">
        <v>20347</v>
      </c>
      <c r="K131" s="96" t="s">
        <v>816</v>
      </c>
    </row>
    <row r="132" spans="9:11" ht="15">
      <c r="I132" s="88">
        <v>10192</v>
      </c>
      <c r="J132" s="88"/>
      <c r="K132" s="101" t="s">
        <v>819</v>
      </c>
    </row>
    <row r="133" spans="9:11" ht="15">
      <c r="I133" s="88">
        <v>10410</v>
      </c>
      <c r="J133" s="88"/>
      <c r="K133" s="101" t="s">
        <v>699</v>
      </c>
    </row>
    <row r="134" spans="9:11" ht="15">
      <c r="I134" s="88" t="s">
        <v>137</v>
      </c>
      <c r="J134" s="88"/>
      <c r="K134" s="96" t="s">
        <v>816</v>
      </c>
    </row>
    <row r="135" spans="9:11" ht="15">
      <c r="I135" s="88">
        <v>10351</v>
      </c>
      <c r="J135" s="88"/>
      <c r="K135" s="96" t="s">
        <v>818</v>
      </c>
    </row>
    <row r="136" spans="9:11" ht="15">
      <c r="I136" s="93"/>
      <c r="J136" s="93">
        <v>20351</v>
      </c>
      <c r="K136" s="96" t="s">
        <v>818</v>
      </c>
    </row>
    <row r="137" spans="9:11" ht="15">
      <c r="I137" s="94" t="s">
        <v>777</v>
      </c>
      <c r="J137" s="93"/>
      <c r="K137" s="96" t="s">
        <v>699</v>
      </c>
    </row>
    <row r="138" spans="9:11" ht="15">
      <c r="I138" s="88" t="s">
        <v>136</v>
      </c>
      <c r="J138" s="88" t="s">
        <v>136</v>
      </c>
      <c r="K138" s="96" t="s">
        <v>816</v>
      </c>
    </row>
    <row r="139" spans="9:11" ht="15">
      <c r="I139" s="88">
        <v>10347</v>
      </c>
      <c r="J139" s="88"/>
      <c r="K139" s="96" t="s">
        <v>816</v>
      </c>
    </row>
    <row r="140" spans="9:11" ht="15">
      <c r="I140" s="93"/>
      <c r="J140" s="93">
        <v>22021</v>
      </c>
      <c r="K140" s="101" t="s">
        <v>819</v>
      </c>
    </row>
    <row r="141" spans="9:11" ht="15">
      <c r="I141" s="88"/>
      <c r="J141" s="88">
        <v>20339</v>
      </c>
      <c r="K141" s="96" t="s">
        <v>816</v>
      </c>
    </row>
    <row r="142" spans="9:11" ht="15">
      <c r="I142" s="88" t="s">
        <v>138</v>
      </c>
      <c r="J142" s="88"/>
      <c r="K142" s="96" t="s">
        <v>816</v>
      </c>
    </row>
    <row r="143" spans="9:11" ht="15">
      <c r="I143" s="88">
        <v>10339</v>
      </c>
      <c r="J143" s="88"/>
      <c r="K143" s="96" t="s">
        <v>816</v>
      </c>
    </row>
    <row r="144" spans="9:11" ht="15">
      <c r="I144" s="88" t="s">
        <v>183</v>
      </c>
      <c r="J144" s="88"/>
      <c r="K144" s="101" t="s">
        <v>819</v>
      </c>
    </row>
    <row r="145" spans="9:11" ht="15">
      <c r="I145" s="88">
        <v>10021</v>
      </c>
      <c r="J145" s="88"/>
      <c r="K145" s="101" t="s">
        <v>819</v>
      </c>
    </row>
    <row r="146" spans="9:11" ht="15">
      <c r="I146" s="88" t="s">
        <v>188</v>
      </c>
      <c r="J146" s="88" t="s">
        <v>188</v>
      </c>
      <c r="K146" s="96" t="s">
        <v>38</v>
      </c>
    </row>
    <row r="147" spans="9:11" ht="15">
      <c r="I147" s="88" t="s">
        <v>778</v>
      </c>
      <c r="J147" s="88" t="s">
        <v>778</v>
      </c>
      <c r="K147" s="96" t="s">
        <v>820</v>
      </c>
    </row>
    <row r="148" spans="9:11" ht="15">
      <c r="I148" s="88">
        <v>10390</v>
      </c>
      <c r="J148" s="88">
        <v>10390</v>
      </c>
      <c r="K148" s="96" t="s">
        <v>38</v>
      </c>
    </row>
    <row r="149" spans="9:11" ht="15">
      <c r="I149" s="88" t="s">
        <v>135</v>
      </c>
      <c r="J149" s="88" t="s">
        <v>135</v>
      </c>
      <c r="K149" s="96" t="s">
        <v>816</v>
      </c>
    </row>
    <row r="150" spans="9:11" ht="15">
      <c r="I150" s="88">
        <v>21021</v>
      </c>
      <c r="J150" s="88"/>
      <c r="K150" s="101" t="s">
        <v>819</v>
      </c>
    </row>
    <row r="151" spans="9:11" ht="15">
      <c r="I151" s="93"/>
      <c r="J151" s="93">
        <v>23021</v>
      </c>
      <c r="K151" s="101" t="s">
        <v>819</v>
      </c>
    </row>
    <row r="152" spans="9:11" ht="15">
      <c r="I152" s="88">
        <v>10343</v>
      </c>
      <c r="J152" s="88">
        <v>10343</v>
      </c>
      <c r="K152" s="96" t="s">
        <v>820</v>
      </c>
    </row>
    <row r="153" spans="9:11" ht="15">
      <c r="I153" s="88" t="s">
        <v>163</v>
      </c>
      <c r="J153" s="88"/>
      <c r="K153" s="96" t="s">
        <v>820</v>
      </c>
    </row>
    <row r="154" spans="9:11" ht="15">
      <c r="I154" s="88"/>
      <c r="J154" s="88" t="s">
        <v>791</v>
      </c>
      <c r="K154" s="101" t="s">
        <v>819</v>
      </c>
    </row>
    <row r="155" spans="9:11" ht="15">
      <c r="I155" s="88" t="s">
        <v>185</v>
      </c>
      <c r="J155" s="88"/>
      <c r="K155" s="101" t="s">
        <v>819</v>
      </c>
    </row>
    <row r="156" spans="9:11" ht="15">
      <c r="I156" s="88" t="s">
        <v>133</v>
      </c>
      <c r="J156" s="88" t="s">
        <v>133</v>
      </c>
      <c r="K156" s="96" t="s">
        <v>816</v>
      </c>
    </row>
    <row r="157" spans="9:11" ht="15">
      <c r="I157" s="88" t="s">
        <v>184</v>
      </c>
      <c r="J157" s="88" t="s">
        <v>184</v>
      </c>
      <c r="K157" s="101" t="s">
        <v>819</v>
      </c>
    </row>
    <row r="158" spans="9:11" ht="15">
      <c r="I158" s="88" t="s">
        <v>779</v>
      </c>
      <c r="J158" s="88" t="s">
        <v>779</v>
      </c>
      <c r="K158" s="96" t="s">
        <v>821</v>
      </c>
    </row>
    <row r="159" spans="9:11" ht="15">
      <c r="I159" s="88" t="s">
        <v>93</v>
      </c>
      <c r="J159" s="88"/>
      <c r="K159" s="96" t="s">
        <v>821</v>
      </c>
    </row>
    <row r="160" spans="9:11" ht="15">
      <c r="I160" s="88">
        <v>10340</v>
      </c>
      <c r="J160" s="88"/>
      <c r="K160" s="96" t="s">
        <v>821</v>
      </c>
    </row>
    <row r="161" spans="9:11" ht="15">
      <c r="I161" s="88"/>
      <c r="J161" s="88">
        <v>20340</v>
      </c>
      <c r="K161" s="96" t="s">
        <v>821</v>
      </c>
    </row>
    <row r="162" spans="9:11" ht="15">
      <c r="I162" s="88"/>
      <c r="J162" s="88" t="s">
        <v>792</v>
      </c>
      <c r="K162" s="96" t="s">
        <v>821</v>
      </c>
    </row>
    <row r="163" spans="9:11" ht="15">
      <c r="I163" s="88" t="s">
        <v>92</v>
      </c>
      <c r="J163" s="88"/>
      <c r="K163" s="96" t="s">
        <v>821</v>
      </c>
    </row>
    <row r="164" spans="9:11" ht="15">
      <c r="I164" s="88" t="s">
        <v>95</v>
      </c>
      <c r="J164" s="88" t="s">
        <v>95</v>
      </c>
      <c r="K164" s="96" t="s">
        <v>821</v>
      </c>
    </row>
    <row r="165" spans="9:11" ht="15">
      <c r="I165" s="88" t="s">
        <v>189</v>
      </c>
      <c r="J165" s="88" t="s">
        <v>189</v>
      </c>
      <c r="K165" s="96" t="s">
        <v>821</v>
      </c>
    </row>
    <row r="166" spans="9:11" ht="15">
      <c r="I166" s="88">
        <v>10328</v>
      </c>
      <c r="J166" s="88"/>
      <c r="K166" s="96" t="s">
        <v>821</v>
      </c>
    </row>
    <row r="167" spans="9:11" ht="15">
      <c r="I167" s="88"/>
      <c r="J167" s="88">
        <v>20328</v>
      </c>
      <c r="K167" s="96" t="s">
        <v>821</v>
      </c>
    </row>
    <row r="168" spans="9:11" ht="15">
      <c r="I168" s="88" t="s">
        <v>94</v>
      </c>
      <c r="J168" s="88"/>
      <c r="K168" s="96" t="s">
        <v>821</v>
      </c>
    </row>
    <row r="169" spans="9:11" ht="15">
      <c r="I169" s="88">
        <v>10382</v>
      </c>
      <c r="J169" s="88">
        <v>10382</v>
      </c>
      <c r="K169" s="96" t="s">
        <v>816</v>
      </c>
    </row>
    <row r="170" spans="9:11" ht="15">
      <c r="I170" s="88">
        <v>10376</v>
      </c>
      <c r="J170" s="88"/>
      <c r="K170" s="96" t="s">
        <v>821</v>
      </c>
    </row>
    <row r="171" spans="9:11" ht="15">
      <c r="I171" s="93"/>
      <c r="J171" s="93">
        <v>20376</v>
      </c>
      <c r="K171" s="96" t="s">
        <v>821</v>
      </c>
    </row>
    <row r="172" spans="9:11" ht="15">
      <c r="I172" s="88" t="s">
        <v>103</v>
      </c>
      <c r="J172" s="88"/>
      <c r="K172" s="96" t="s">
        <v>822</v>
      </c>
    </row>
    <row r="173" spans="9:11" ht="15">
      <c r="I173" s="88" t="s">
        <v>91</v>
      </c>
      <c r="J173" s="88"/>
      <c r="K173" s="96" t="s">
        <v>821</v>
      </c>
    </row>
    <row r="174" spans="9:11" ht="15">
      <c r="I174" s="88" t="s">
        <v>102</v>
      </c>
      <c r="J174" s="88" t="s">
        <v>102</v>
      </c>
      <c r="K174" s="96" t="s">
        <v>822</v>
      </c>
    </row>
    <row r="175" spans="9:11" ht="15">
      <c r="I175" s="88" t="s">
        <v>190</v>
      </c>
      <c r="J175" s="88" t="s">
        <v>190</v>
      </c>
      <c r="K175" s="96" t="s">
        <v>821</v>
      </c>
    </row>
    <row r="176" spans="9:11" ht="15">
      <c r="I176" s="88"/>
      <c r="J176" s="88">
        <v>20381</v>
      </c>
      <c r="K176" s="96" t="s">
        <v>816</v>
      </c>
    </row>
    <row r="177" spans="9:11" ht="15">
      <c r="I177" s="88">
        <v>10381</v>
      </c>
      <c r="J177" s="88"/>
      <c r="K177" s="96" t="s">
        <v>816</v>
      </c>
    </row>
    <row r="178" spans="9:11" ht="15">
      <c r="I178" s="88"/>
      <c r="J178" s="88" t="s">
        <v>783</v>
      </c>
      <c r="K178" s="96" t="s">
        <v>822</v>
      </c>
    </row>
    <row r="179" spans="9:11" ht="15">
      <c r="I179" s="88">
        <v>10366</v>
      </c>
      <c r="J179" s="88"/>
      <c r="K179" s="96" t="s">
        <v>822</v>
      </c>
    </row>
    <row r="180" spans="9:11" ht="15">
      <c r="I180" s="88" t="s">
        <v>104</v>
      </c>
      <c r="J180" s="88" t="s">
        <v>104</v>
      </c>
      <c r="K180" s="96" t="s">
        <v>822</v>
      </c>
    </row>
    <row r="181" spans="9:11" ht="15">
      <c r="I181" s="88">
        <v>10348</v>
      </c>
      <c r="J181" s="88"/>
      <c r="K181" s="96" t="s">
        <v>823</v>
      </c>
    </row>
    <row r="182" spans="9:11" ht="15">
      <c r="I182" s="88"/>
      <c r="J182" s="88">
        <v>20348</v>
      </c>
      <c r="K182" s="96" t="s">
        <v>823</v>
      </c>
    </row>
    <row r="183" spans="9:11" ht="15">
      <c r="I183" s="88">
        <v>23039</v>
      </c>
      <c r="J183" s="88">
        <v>23039</v>
      </c>
      <c r="K183" s="96" t="s">
        <v>824</v>
      </c>
    </row>
    <row r="184" spans="9:11" ht="15">
      <c r="I184" s="88" t="s">
        <v>111</v>
      </c>
      <c r="J184" s="88"/>
      <c r="K184" s="96" t="s">
        <v>824</v>
      </c>
    </row>
    <row r="185" spans="9:11" ht="15">
      <c r="I185" s="89" t="s">
        <v>116</v>
      </c>
      <c r="J185" s="89" t="s">
        <v>116</v>
      </c>
      <c r="K185" s="97" t="s">
        <v>823</v>
      </c>
    </row>
    <row r="186" spans="9:11" ht="15">
      <c r="I186" s="93"/>
      <c r="J186" s="93">
        <v>10039</v>
      </c>
      <c r="K186" s="96" t="s">
        <v>824</v>
      </c>
    </row>
    <row r="187" spans="9:11" ht="15">
      <c r="I187" s="88" t="s">
        <v>110</v>
      </c>
      <c r="J187" s="88"/>
      <c r="K187" s="96" t="s">
        <v>824</v>
      </c>
    </row>
    <row r="188" spans="9:11" ht="15">
      <c r="I188" s="89" t="s">
        <v>115</v>
      </c>
      <c r="J188" s="89"/>
      <c r="K188" s="96" t="s">
        <v>823</v>
      </c>
    </row>
    <row r="189" spans="9:11" ht="15">
      <c r="I189" s="88">
        <v>10354</v>
      </c>
      <c r="J189" s="88"/>
      <c r="K189" s="96" t="s">
        <v>823</v>
      </c>
    </row>
    <row r="190" spans="9:11" ht="15">
      <c r="I190" s="88"/>
      <c r="J190" s="88">
        <v>20354</v>
      </c>
      <c r="K190" s="96" t="s">
        <v>823</v>
      </c>
    </row>
    <row r="191" spans="9:11" ht="15">
      <c r="I191" s="88">
        <v>20039</v>
      </c>
      <c r="J191" s="88"/>
      <c r="K191" s="96" t="s">
        <v>824</v>
      </c>
    </row>
    <row r="192" spans="9:11" ht="15">
      <c r="I192" s="88">
        <v>10342</v>
      </c>
      <c r="J192" s="88"/>
      <c r="K192" s="96" t="s">
        <v>825</v>
      </c>
    </row>
    <row r="193" spans="9:11" ht="15">
      <c r="I193" s="88">
        <v>10334</v>
      </c>
      <c r="J193" s="88"/>
      <c r="K193" s="96" t="s">
        <v>825</v>
      </c>
    </row>
    <row r="194" spans="9:11" ht="15">
      <c r="I194" s="88" t="s">
        <v>158</v>
      </c>
      <c r="J194" s="88" t="s">
        <v>158</v>
      </c>
      <c r="K194" s="96" t="s">
        <v>825</v>
      </c>
    </row>
    <row r="195" spans="9:11" ht="15">
      <c r="I195" s="93"/>
      <c r="J195" s="93">
        <v>10259</v>
      </c>
      <c r="K195" s="101" t="s">
        <v>825</v>
      </c>
    </row>
    <row r="196" spans="9:11">
      <c r="I196" s="90" t="s">
        <v>780</v>
      </c>
      <c r="J196" s="95"/>
      <c r="K196" s="95" t="s">
        <v>825</v>
      </c>
    </row>
    <row r="197" spans="9:11" ht="15">
      <c r="I197" s="89" t="s">
        <v>117</v>
      </c>
      <c r="J197" s="89"/>
      <c r="K197" s="97" t="s">
        <v>823</v>
      </c>
    </row>
    <row r="198" spans="9:11" ht="15">
      <c r="I198" s="89" t="s">
        <v>739</v>
      </c>
      <c r="J198" s="89" t="s">
        <v>739</v>
      </c>
      <c r="K198" s="96" t="s">
        <v>742</v>
      </c>
    </row>
    <row r="199" spans="9:11" ht="15">
      <c r="I199" s="88" t="s">
        <v>148</v>
      </c>
      <c r="J199" s="88" t="s">
        <v>148</v>
      </c>
      <c r="K199" s="96" t="s">
        <v>826</v>
      </c>
    </row>
    <row r="200" spans="9:11" ht="15">
      <c r="I200" s="91" t="s">
        <v>781</v>
      </c>
      <c r="J200" s="91" t="s">
        <v>781</v>
      </c>
      <c r="K200" s="96" t="s">
        <v>826</v>
      </c>
    </row>
    <row r="201" spans="9:11" ht="15">
      <c r="I201" s="88" t="s">
        <v>156</v>
      </c>
      <c r="J201" s="88" t="s">
        <v>156</v>
      </c>
      <c r="K201" s="96" t="s">
        <v>825</v>
      </c>
    </row>
    <row r="202" spans="9:11" ht="15">
      <c r="I202" s="88">
        <v>10411</v>
      </c>
      <c r="J202" s="88"/>
      <c r="K202" s="96" t="s">
        <v>742</v>
      </c>
    </row>
    <row r="203" spans="9:11" ht="15">
      <c r="I203" s="88"/>
      <c r="J203" s="93">
        <v>20411</v>
      </c>
      <c r="K203" s="96" t="s">
        <v>742</v>
      </c>
    </row>
    <row r="204" spans="9:11" ht="15">
      <c r="I204" s="88" t="s">
        <v>78</v>
      </c>
      <c r="J204" s="88" t="s">
        <v>78</v>
      </c>
      <c r="K204" s="96" t="s">
        <v>827</v>
      </c>
    </row>
    <row r="205" spans="9:11" ht="15">
      <c r="I205" s="89" t="s">
        <v>149</v>
      </c>
      <c r="J205" s="89" t="s">
        <v>149</v>
      </c>
      <c r="K205" s="96" t="s">
        <v>826</v>
      </c>
    </row>
    <row r="206" spans="9:11" ht="15">
      <c r="I206" s="88" t="s">
        <v>157</v>
      </c>
      <c r="J206" s="88" t="s">
        <v>157</v>
      </c>
      <c r="K206" s="96" t="s">
        <v>825</v>
      </c>
    </row>
    <row r="207" spans="9:11" ht="15">
      <c r="I207" s="88">
        <v>20141</v>
      </c>
      <c r="J207" s="88"/>
      <c r="K207" s="96" t="s">
        <v>826</v>
      </c>
    </row>
    <row r="208" spans="9:11" ht="15">
      <c r="I208" s="93"/>
      <c r="J208" s="93">
        <v>10141</v>
      </c>
      <c r="K208" s="96" t="s">
        <v>826</v>
      </c>
    </row>
    <row r="209" spans="9:11" ht="15">
      <c r="I209" s="88" t="s">
        <v>109</v>
      </c>
      <c r="J209" s="88" t="s">
        <v>109</v>
      </c>
      <c r="K209" s="96" t="s">
        <v>824</v>
      </c>
    </row>
    <row r="210" spans="9:11" ht="15">
      <c r="I210" s="88">
        <v>10211</v>
      </c>
      <c r="J210" s="88">
        <v>10211</v>
      </c>
      <c r="K210" s="96" t="s">
        <v>827</v>
      </c>
    </row>
    <row r="211" spans="9:11" ht="15">
      <c r="I211" s="88" t="s">
        <v>155</v>
      </c>
      <c r="J211" s="88"/>
      <c r="K211" s="96" t="s">
        <v>825</v>
      </c>
    </row>
    <row r="212" spans="9:11" ht="15">
      <c r="I212" s="88"/>
      <c r="J212" s="88" t="s">
        <v>793</v>
      </c>
      <c r="K212" s="97" t="s">
        <v>825</v>
      </c>
    </row>
    <row r="213" spans="9:11" ht="15">
      <c r="I213" s="88">
        <v>10118</v>
      </c>
      <c r="J213" s="88">
        <v>10118</v>
      </c>
      <c r="K213" s="96" t="s">
        <v>824</v>
      </c>
    </row>
    <row r="214" spans="9:11" ht="15">
      <c r="I214" s="88">
        <v>20061</v>
      </c>
      <c r="J214" s="88">
        <v>20061</v>
      </c>
      <c r="K214" s="96" t="s">
        <v>824</v>
      </c>
    </row>
    <row r="215" spans="9:11" ht="15">
      <c r="I215" s="88" t="s">
        <v>141</v>
      </c>
      <c r="J215" s="88"/>
      <c r="K215" s="96" t="s">
        <v>816</v>
      </c>
    </row>
    <row r="216" spans="9:11" ht="15">
      <c r="I216" s="88" t="s">
        <v>125</v>
      </c>
      <c r="J216" s="88" t="s">
        <v>125</v>
      </c>
      <c r="K216" s="96" t="s">
        <v>828</v>
      </c>
    </row>
    <row r="217" spans="9:11" ht="15">
      <c r="I217" s="93"/>
      <c r="J217" s="93">
        <v>20413</v>
      </c>
      <c r="K217" s="96" t="s">
        <v>816</v>
      </c>
    </row>
    <row r="218" spans="9:11" ht="15">
      <c r="I218" s="88" t="s">
        <v>142</v>
      </c>
      <c r="J218" s="88"/>
      <c r="K218" s="96" t="s">
        <v>816</v>
      </c>
    </row>
    <row r="219" spans="9:11" ht="15">
      <c r="I219" s="93"/>
      <c r="J219" s="93">
        <v>20350</v>
      </c>
      <c r="K219" s="96" t="s">
        <v>816</v>
      </c>
    </row>
    <row r="220" spans="9:11" ht="15">
      <c r="I220" s="88" t="s">
        <v>139</v>
      </c>
      <c r="J220" s="88"/>
      <c r="K220" s="96" t="s">
        <v>816</v>
      </c>
    </row>
    <row r="221" spans="9:11" ht="15">
      <c r="I221" s="88">
        <v>10208</v>
      </c>
      <c r="J221" s="88"/>
      <c r="K221" s="96" t="s">
        <v>817</v>
      </c>
    </row>
    <row r="222" spans="9:11" ht="15">
      <c r="I222" s="88">
        <v>10350</v>
      </c>
      <c r="J222" s="88"/>
      <c r="K222" s="96" t="s">
        <v>816</v>
      </c>
    </row>
    <row r="223" spans="9:11" ht="15">
      <c r="I223" s="88">
        <v>10368</v>
      </c>
      <c r="J223" s="88"/>
      <c r="K223" s="96" t="s">
        <v>828</v>
      </c>
    </row>
    <row r="224" spans="9:11" ht="15">
      <c r="I224" s="93"/>
      <c r="J224" s="93">
        <v>23012</v>
      </c>
      <c r="K224" s="96" t="s">
        <v>817</v>
      </c>
    </row>
    <row r="225" spans="9:11" ht="15">
      <c r="I225" s="88">
        <v>10012</v>
      </c>
      <c r="J225" s="88"/>
      <c r="K225" s="96" t="s">
        <v>817</v>
      </c>
    </row>
    <row r="226" spans="9:11" ht="15">
      <c r="I226" s="93"/>
      <c r="J226" s="93">
        <v>20368</v>
      </c>
      <c r="K226" s="96" t="s">
        <v>828</v>
      </c>
    </row>
    <row r="227" spans="9:11" ht="15">
      <c r="I227" s="88" t="s">
        <v>124</v>
      </c>
      <c r="J227" s="88" t="s">
        <v>124</v>
      </c>
      <c r="K227" s="96" t="s">
        <v>828</v>
      </c>
    </row>
    <row r="228" spans="9:11" ht="15">
      <c r="I228" s="88" t="s">
        <v>140</v>
      </c>
      <c r="J228" s="88" t="s">
        <v>140</v>
      </c>
      <c r="K228" s="96" t="s">
        <v>816</v>
      </c>
    </row>
    <row r="229" spans="9:11" ht="15">
      <c r="I229" s="88" t="s">
        <v>121</v>
      </c>
      <c r="J229" s="88"/>
      <c r="K229" s="96" t="s">
        <v>817</v>
      </c>
    </row>
    <row r="230" spans="9:11" ht="15">
      <c r="I230" s="93"/>
      <c r="J230" s="93">
        <v>24012</v>
      </c>
      <c r="K230" s="96" t="s">
        <v>817</v>
      </c>
    </row>
    <row r="231" spans="9:11" ht="15">
      <c r="I231" s="89"/>
      <c r="J231" s="89" t="s">
        <v>794</v>
      </c>
      <c r="K231" s="96" t="s">
        <v>817</v>
      </c>
    </row>
    <row r="232" spans="9:11" ht="15">
      <c r="I232" s="88" t="s">
        <v>122</v>
      </c>
      <c r="J232" s="88"/>
      <c r="K232" s="96" t="s">
        <v>817</v>
      </c>
    </row>
    <row r="233" spans="9:11" ht="15">
      <c r="I233" s="91">
        <v>10419</v>
      </c>
      <c r="J233" s="91">
        <v>10419</v>
      </c>
      <c r="K233" s="98" t="s">
        <v>829</v>
      </c>
    </row>
    <row r="234" spans="9:11" ht="15">
      <c r="I234" s="88">
        <v>10375</v>
      </c>
      <c r="J234" s="88">
        <v>10375</v>
      </c>
      <c r="K234" s="96" t="s">
        <v>50</v>
      </c>
    </row>
    <row r="235" spans="9:11" ht="15">
      <c r="I235" s="88">
        <v>10102</v>
      </c>
      <c r="J235" s="88">
        <v>10102</v>
      </c>
      <c r="K235" s="96" t="s">
        <v>50</v>
      </c>
    </row>
    <row r="236" spans="9:11" ht="15">
      <c r="I236" s="93"/>
      <c r="J236" s="93">
        <v>10161</v>
      </c>
      <c r="K236" s="101" t="s">
        <v>14</v>
      </c>
    </row>
    <row r="237" spans="9:11" ht="15">
      <c r="I237" s="88" t="s">
        <v>90</v>
      </c>
      <c r="J237" s="88"/>
      <c r="K237" s="101" t="s">
        <v>14</v>
      </c>
    </row>
    <row r="238" spans="9:11" ht="15">
      <c r="I238" s="88">
        <v>10301</v>
      </c>
      <c r="J238" s="88"/>
      <c r="K238" s="101" t="s">
        <v>14</v>
      </c>
    </row>
    <row r="239" spans="9:11" ht="15">
      <c r="I239" s="88" t="s">
        <v>173</v>
      </c>
      <c r="J239" s="88"/>
      <c r="K239" s="96" t="s">
        <v>766</v>
      </c>
    </row>
    <row r="240" spans="9:11" ht="15">
      <c r="I240" s="88">
        <v>10316</v>
      </c>
      <c r="J240" s="88"/>
      <c r="K240" s="96" t="s">
        <v>766</v>
      </c>
    </row>
    <row r="241" spans="9:11" ht="15">
      <c r="I241" s="93"/>
      <c r="J241" s="93">
        <v>20316</v>
      </c>
      <c r="K241" s="96" t="s">
        <v>766</v>
      </c>
    </row>
    <row r="242" spans="9:11" ht="15">
      <c r="I242" s="88">
        <v>10374</v>
      </c>
      <c r="J242" s="88">
        <v>10374</v>
      </c>
      <c r="K242" s="96" t="s">
        <v>13</v>
      </c>
    </row>
    <row r="243" spans="9:11" ht="15">
      <c r="I243" s="88" t="s">
        <v>177</v>
      </c>
      <c r="J243" s="88" t="s">
        <v>177</v>
      </c>
      <c r="K243" s="96" t="s">
        <v>766</v>
      </c>
    </row>
    <row r="244" spans="9:11" ht="15">
      <c r="I244" s="88" t="s">
        <v>175</v>
      </c>
      <c r="J244" s="88" t="s">
        <v>175</v>
      </c>
      <c r="K244" s="96" t="s">
        <v>766</v>
      </c>
    </row>
    <row r="245" spans="9:11" ht="15">
      <c r="I245" s="88" t="s">
        <v>174</v>
      </c>
      <c r="J245" s="88" t="s">
        <v>174</v>
      </c>
      <c r="K245" s="96" t="s">
        <v>766</v>
      </c>
    </row>
    <row r="246" spans="9:11" ht="15">
      <c r="I246" s="88" t="s">
        <v>162</v>
      </c>
      <c r="J246" s="88" t="s">
        <v>162</v>
      </c>
      <c r="K246" s="96" t="s">
        <v>830</v>
      </c>
    </row>
    <row r="247" spans="9:11" ht="15">
      <c r="I247" s="88" t="s">
        <v>765</v>
      </c>
      <c r="J247" s="88" t="s">
        <v>765</v>
      </c>
      <c r="K247" s="96" t="s">
        <v>766</v>
      </c>
    </row>
    <row r="248" spans="9:11" ht="15">
      <c r="I248" s="92" t="s">
        <v>89</v>
      </c>
      <c r="J248" s="92" t="s">
        <v>89</v>
      </c>
      <c r="K248" s="96" t="s">
        <v>13</v>
      </c>
    </row>
    <row r="249" spans="9:11" ht="15">
      <c r="I249" s="88" t="s">
        <v>160</v>
      </c>
      <c r="J249" s="88" t="s">
        <v>160</v>
      </c>
      <c r="K249" s="96" t="s">
        <v>830</v>
      </c>
    </row>
    <row r="250" spans="9:11" ht="15">
      <c r="I250" s="88" t="s">
        <v>159</v>
      </c>
      <c r="J250" s="88" t="s">
        <v>159</v>
      </c>
      <c r="K250" s="96" t="s">
        <v>830</v>
      </c>
    </row>
    <row r="251" spans="9:11" ht="15">
      <c r="I251" s="88" t="s">
        <v>172</v>
      </c>
      <c r="J251" s="88" t="s">
        <v>172</v>
      </c>
      <c r="K251" s="96" t="s">
        <v>766</v>
      </c>
    </row>
    <row r="252" spans="9:11" ht="15">
      <c r="I252" s="88" t="s">
        <v>161</v>
      </c>
      <c r="J252" s="88" t="s">
        <v>161</v>
      </c>
      <c r="K252" s="96" t="s">
        <v>830</v>
      </c>
    </row>
    <row r="253" spans="9:11" ht="15">
      <c r="I253" s="88" t="s">
        <v>144</v>
      </c>
      <c r="J253" s="88" t="s">
        <v>144</v>
      </c>
      <c r="K253" s="96" t="s">
        <v>36</v>
      </c>
    </row>
    <row r="254" spans="9:11" ht="15">
      <c r="I254" s="88">
        <v>10335</v>
      </c>
      <c r="J254" s="88"/>
      <c r="K254" s="96" t="s">
        <v>830</v>
      </c>
    </row>
    <row r="255" spans="9:11" ht="15">
      <c r="I255" s="88"/>
      <c r="J255" s="88">
        <v>20335</v>
      </c>
      <c r="K255" s="96" t="s">
        <v>830</v>
      </c>
    </row>
    <row r="256" spans="9:11" ht="15">
      <c r="I256" s="88">
        <v>10349</v>
      </c>
      <c r="J256" s="88">
        <v>10349</v>
      </c>
      <c r="K256" s="96" t="s">
        <v>36</v>
      </c>
    </row>
    <row r="257" spans="9:11" ht="15">
      <c r="I257" s="88">
        <v>10333</v>
      </c>
      <c r="J257" s="88"/>
      <c r="K257" s="96" t="s">
        <v>766</v>
      </c>
    </row>
    <row r="258" spans="9:11" ht="15">
      <c r="I258" s="88" t="s">
        <v>178</v>
      </c>
      <c r="J258" s="93">
        <v>20333</v>
      </c>
      <c r="K258" s="96" t="s">
        <v>766</v>
      </c>
    </row>
    <row r="259" spans="9:11" ht="15">
      <c r="I259" s="88">
        <v>10323</v>
      </c>
      <c r="J259" s="88"/>
      <c r="K259" s="96" t="s">
        <v>766</v>
      </c>
    </row>
    <row r="260" spans="9:11" ht="15">
      <c r="I260" s="88" t="s">
        <v>176</v>
      </c>
      <c r="J260" s="88" t="s">
        <v>176</v>
      </c>
      <c r="K260" s="96" t="s">
        <v>766</v>
      </c>
    </row>
    <row r="261" spans="9:11" ht="15">
      <c r="I261" s="93"/>
      <c r="J261" s="93">
        <v>20323</v>
      </c>
      <c r="K261" s="96" t="s">
        <v>766</v>
      </c>
    </row>
    <row r="262" spans="9:11" ht="15">
      <c r="I262" s="88" t="s">
        <v>143</v>
      </c>
      <c r="J262" s="88" t="s">
        <v>143</v>
      </c>
      <c r="K262" s="96" t="s">
        <v>36</v>
      </c>
    </row>
    <row r="263" spans="9:11" ht="15">
      <c r="I263" s="88">
        <v>10355</v>
      </c>
      <c r="J263" s="88">
        <v>10355</v>
      </c>
      <c r="K263" s="96" t="s">
        <v>26</v>
      </c>
    </row>
    <row r="264" spans="9:11" ht="15">
      <c r="I264" s="88" t="s">
        <v>191</v>
      </c>
      <c r="J264" s="88"/>
      <c r="K264" s="96" t="s">
        <v>26</v>
      </c>
    </row>
    <row r="265" spans="9:11" ht="15">
      <c r="I265" s="93"/>
      <c r="J265" s="93">
        <v>20379</v>
      </c>
      <c r="K265" s="96" t="s">
        <v>831</v>
      </c>
    </row>
    <row r="266" spans="9:11" ht="15">
      <c r="I266" s="88">
        <v>10379</v>
      </c>
      <c r="J266" s="88"/>
      <c r="K266" s="96" t="s">
        <v>831</v>
      </c>
    </row>
    <row r="267" spans="9:11" ht="15">
      <c r="I267" s="91"/>
      <c r="J267" s="94">
        <v>20415</v>
      </c>
      <c r="K267" s="98" t="s">
        <v>743</v>
      </c>
    </row>
    <row r="268" spans="9:11" ht="15">
      <c r="I268" s="88">
        <v>10025</v>
      </c>
      <c r="J268" s="88">
        <v>10025</v>
      </c>
      <c r="K268" s="96" t="s">
        <v>42</v>
      </c>
    </row>
    <row r="269" spans="9:11" ht="15">
      <c r="I269" s="88"/>
      <c r="J269" s="88" t="s">
        <v>795</v>
      </c>
      <c r="K269" s="97" t="s">
        <v>42</v>
      </c>
    </row>
    <row r="270" spans="9:11" ht="15">
      <c r="I270" s="88">
        <v>10415</v>
      </c>
      <c r="J270" s="88"/>
      <c r="K270" s="97" t="s">
        <v>743</v>
      </c>
    </row>
    <row r="271" spans="9:11" ht="15">
      <c r="I271" s="88" t="s">
        <v>740</v>
      </c>
      <c r="J271" s="88"/>
      <c r="K271" s="97" t="s">
        <v>743</v>
      </c>
    </row>
    <row r="272" spans="9:11" ht="15">
      <c r="I272" s="88">
        <v>10341</v>
      </c>
      <c r="J272" s="88"/>
      <c r="K272" s="96" t="s">
        <v>832</v>
      </c>
    </row>
    <row r="273" spans="9:11" ht="15">
      <c r="I273" s="88"/>
      <c r="J273" s="88">
        <v>20341</v>
      </c>
      <c r="K273" s="96" t="s">
        <v>832</v>
      </c>
    </row>
    <row r="274" spans="9:11" ht="15">
      <c r="I274" s="88" t="s">
        <v>154</v>
      </c>
      <c r="J274" s="88" t="s">
        <v>154</v>
      </c>
      <c r="K274" s="96" t="s">
        <v>42</v>
      </c>
    </row>
    <row r="275" spans="9:11" ht="15">
      <c r="I275" s="88" t="s">
        <v>112</v>
      </c>
      <c r="J275" s="88"/>
      <c r="K275" s="96" t="s">
        <v>26</v>
      </c>
    </row>
    <row r="276" spans="9:11" ht="15">
      <c r="I276" s="88" t="s">
        <v>97</v>
      </c>
      <c r="J276" s="88"/>
      <c r="K276" s="96" t="s">
        <v>832</v>
      </c>
    </row>
    <row r="277" spans="9:11" ht="15">
      <c r="I277" s="88" t="s">
        <v>695</v>
      </c>
      <c r="J277" s="88"/>
      <c r="K277" s="96" t="s">
        <v>42</v>
      </c>
    </row>
    <row r="278" spans="9:11" ht="15">
      <c r="I278" s="88" t="s">
        <v>100</v>
      </c>
      <c r="J278" s="88"/>
      <c r="K278" s="96" t="s">
        <v>833</v>
      </c>
    </row>
    <row r="279" spans="9:11" ht="15">
      <c r="I279" s="88" t="s">
        <v>129</v>
      </c>
      <c r="J279" s="88"/>
      <c r="K279" s="96" t="s">
        <v>34</v>
      </c>
    </row>
    <row r="280" spans="9:11" ht="15">
      <c r="I280" s="88"/>
      <c r="J280" s="88" t="s">
        <v>796</v>
      </c>
      <c r="K280" s="96" t="s">
        <v>34</v>
      </c>
    </row>
    <row r="281" spans="9:11" ht="15">
      <c r="I281" s="88" t="s">
        <v>73</v>
      </c>
      <c r="J281" s="88"/>
      <c r="K281" s="96" t="s">
        <v>1</v>
      </c>
    </row>
    <row r="282" spans="9:11" ht="15">
      <c r="I282" s="88" t="s">
        <v>130</v>
      </c>
      <c r="J282" s="88" t="s">
        <v>130</v>
      </c>
      <c r="K282" s="96" t="s">
        <v>34</v>
      </c>
    </row>
    <row r="283" spans="9:11" ht="15">
      <c r="I283" s="88">
        <v>10032</v>
      </c>
      <c r="J283" s="88">
        <v>10032</v>
      </c>
      <c r="K283" s="96" t="s">
        <v>834</v>
      </c>
    </row>
    <row r="284" spans="9:11" ht="15">
      <c r="I284" s="88" t="s">
        <v>127</v>
      </c>
      <c r="J284" s="88" t="s">
        <v>127</v>
      </c>
      <c r="K284" s="96" t="s">
        <v>835</v>
      </c>
    </row>
    <row r="285" spans="9:11" ht="15">
      <c r="I285" s="88" t="s">
        <v>126</v>
      </c>
      <c r="J285" s="88" t="s">
        <v>126</v>
      </c>
      <c r="K285" s="96" t="s">
        <v>835</v>
      </c>
    </row>
    <row r="286" spans="9:11" ht="15">
      <c r="I286" s="88">
        <v>12026</v>
      </c>
      <c r="J286" s="88"/>
      <c r="K286" s="101" t="s">
        <v>48</v>
      </c>
    </row>
    <row r="287" spans="9:11" ht="15">
      <c r="I287" s="93"/>
      <c r="J287" s="93">
        <v>10026</v>
      </c>
      <c r="K287" s="101" t="s">
        <v>48</v>
      </c>
    </row>
    <row r="288" spans="9:11" ht="15">
      <c r="I288" s="88" t="s">
        <v>694</v>
      </c>
      <c r="J288" s="88" t="s">
        <v>694</v>
      </c>
      <c r="K288" s="96" t="s">
        <v>698</v>
      </c>
    </row>
    <row r="289" spans="9:11" ht="15">
      <c r="I289" s="88">
        <v>10357</v>
      </c>
      <c r="J289" s="88"/>
      <c r="K289" s="96" t="s">
        <v>828</v>
      </c>
    </row>
    <row r="290" spans="9:11" ht="15">
      <c r="I290" s="88" t="s">
        <v>123</v>
      </c>
      <c r="J290" s="88"/>
      <c r="K290" s="96" t="s">
        <v>828</v>
      </c>
    </row>
    <row r="291" spans="9:11" ht="15">
      <c r="I291" s="88"/>
      <c r="J291" s="88">
        <v>20357</v>
      </c>
      <c r="K291" s="96" t="s">
        <v>828</v>
      </c>
    </row>
    <row r="292" spans="9:11" ht="15">
      <c r="I292" s="88"/>
      <c r="J292" s="88">
        <v>20391</v>
      </c>
      <c r="K292" s="96" t="s">
        <v>1</v>
      </c>
    </row>
    <row r="293" spans="9:11" ht="15">
      <c r="I293" s="88">
        <v>10391</v>
      </c>
      <c r="J293" s="88"/>
      <c r="K293" s="96" t="s">
        <v>1</v>
      </c>
    </row>
    <row r="294" spans="9:11" ht="15">
      <c r="I294" s="88"/>
      <c r="J294" s="88">
        <v>20345</v>
      </c>
      <c r="K294" s="96" t="s">
        <v>828</v>
      </c>
    </row>
    <row r="295" spans="9:11" ht="15">
      <c r="I295" s="88"/>
      <c r="J295" s="88">
        <v>20344</v>
      </c>
      <c r="K295" s="96" t="s">
        <v>828</v>
      </c>
    </row>
    <row r="296" spans="9:11" ht="15">
      <c r="I296" s="93"/>
      <c r="J296" s="93">
        <v>20399</v>
      </c>
      <c r="K296" s="96" t="s">
        <v>19</v>
      </c>
    </row>
    <row r="297" spans="9:11" ht="15">
      <c r="I297" s="88" t="s">
        <v>693</v>
      </c>
      <c r="J297" s="88"/>
      <c r="K297" s="96" t="s">
        <v>19</v>
      </c>
    </row>
    <row r="298" spans="9:11" ht="15">
      <c r="I298" s="88">
        <v>10345</v>
      </c>
      <c r="J298" s="88"/>
      <c r="K298" s="96" t="s">
        <v>828</v>
      </c>
    </row>
    <row r="299" spans="9:11" ht="15">
      <c r="I299" s="88">
        <v>10378</v>
      </c>
      <c r="J299" s="88"/>
      <c r="K299" s="96" t="s">
        <v>34</v>
      </c>
    </row>
    <row r="300" spans="9:11" ht="15">
      <c r="I300" s="88"/>
      <c r="J300" s="88">
        <v>20378</v>
      </c>
      <c r="K300" s="96" t="s">
        <v>34</v>
      </c>
    </row>
    <row r="301" spans="9:11" ht="15">
      <c r="I301" s="88">
        <v>10370</v>
      </c>
      <c r="J301" s="88">
        <v>10370</v>
      </c>
      <c r="K301" s="96" t="s">
        <v>835</v>
      </c>
    </row>
    <row r="302" spans="9:11" ht="15">
      <c r="I302" s="88">
        <v>10399</v>
      </c>
      <c r="J302" s="88"/>
      <c r="K302" s="96" t="s">
        <v>19</v>
      </c>
    </row>
    <row r="303" spans="9:11" ht="15">
      <c r="I303" s="88" t="s">
        <v>98</v>
      </c>
      <c r="J303" s="88"/>
      <c r="K303" s="96" t="s">
        <v>19</v>
      </c>
    </row>
    <row r="304" spans="9:11" ht="15">
      <c r="I304" s="88">
        <v>10302</v>
      </c>
      <c r="J304" s="88">
        <v>10302</v>
      </c>
      <c r="K304" s="96" t="s">
        <v>836</v>
      </c>
    </row>
    <row r="305" spans="9:11" ht="15">
      <c r="I305" s="88">
        <v>10322</v>
      </c>
      <c r="J305" s="88"/>
      <c r="K305" s="96" t="s">
        <v>833</v>
      </c>
    </row>
    <row r="306" spans="9:11" ht="15">
      <c r="I306" s="88">
        <v>10407</v>
      </c>
      <c r="J306" s="88"/>
      <c r="K306" s="101" t="s">
        <v>697</v>
      </c>
    </row>
    <row r="307" spans="9:11" ht="15">
      <c r="I307" s="93"/>
      <c r="J307" s="93">
        <v>20322</v>
      </c>
      <c r="K307" s="96" t="s">
        <v>833</v>
      </c>
    </row>
    <row r="308" spans="9:11" ht="15">
      <c r="I308" s="88" t="s">
        <v>99</v>
      </c>
      <c r="J308" s="88"/>
      <c r="K308" s="96" t="s">
        <v>833</v>
      </c>
    </row>
    <row r="309" spans="9:11" ht="15">
      <c r="I309" s="93"/>
      <c r="J309" s="93" t="s">
        <v>784</v>
      </c>
      <c r="K309" s="96" t="s">
        <v>833</v>
      </c>
    </row>
    <row r="310" spans="9:11" ht="15">
      <c r="I310" s="93" t="s">
        <v>692</v>
      </c>
      <c r="J310" s="93"/>
      <c r="K310" s="96" t="s">
        <v>697</v>
      </c>
    </row>
    <row r="311" spans="9:11" ht="15">
      <c r="I311" s="88" t="s">
        <v>101</v>
      </c>
      <c r="J311" s="88"/>
      <c r="K311" s="96" t="s">
        <v>833</v>
      </c>
    </row>
    <row r="312" spans="9:11" ht="15">
      <c r="I312" s="88" t="s">
        <v>76</v>
      </c>
      <c r="J312" s="88"/>
      <c r="K312" s="96" t="s">
        <v>836</v>
      </c>
    </row>
    <row r="313" spans="9:11" ht="15">
      <c r="I313" s="88">
        <v>10406</v>
      </c>
      <c r="J313" s="88"/>
      <c r="K313" s="101" t="s">
        <v>697</v>
      </c>
    </row>
    <row r="314" spans="9:11" ht="15">
      <c r="I314" s="88"/>
      <c r="J314" s="88">
        <v>20406</v>
      </c>
      <c r="K314" s="101" t="s">
        <v>697</v>
      </c>
    </row>
    <row r="315" spans="9:11" ht="15">
      <c r="I315" s="88" t="s">
        <v>77</v>
      </c>
      <c r="J315" s="88"/>
      <c r="K315" s="96" t="s">
        <v>836</v>
      </c>
    </row>
    <row r="316" spans="9:11" ht="15">
      <c r="I316" s="88"/>
      <c r="J316" s="88" t="s">
        <v>797</v>
      </c>
      <c r="K316" s="96" t="s">
        <v>836</v>
      </c>
    </row>
    <row r="317" spans="9:11" ht="15">
      <c r="I317" s="88" t="s">
        <v>164</v>
      </c>
      <c r="J317" s="88" t="s">
        <v>164</v>
      </c>
      <c r="K317" s="101" t="s">
        <v>48</v>
      </c>
    </row>
    <row r="318" spans="9:11" ht="15">
      <c r="I318" s="88" t="s">
        <v>165</v>
      </c>
      <c r="J318" s="88"/>
      <c r="K318" s="101" t="s">
        <v>48</v>
      </c>
    </row>
    <row r="319" spans="9:11" ht="15">
      <c r="I319" s="88">
        <v>10405</v>
      </c>
      <c r="J319" s="88">
        <v>10405</v>
      </c>
      <c r="K319" s="96" t="s">
        <v>698</v>
      </c>
    </row>
    <row r="320" spans="9:11" ht="15">
      <c r="I320" s="88">
        <v>10380</v>
      </c>
      <c r="J320" s="88"/>
      <c r="K320" s="96" t="s">
        <v>1</v>
      </c>
    </row>
    <row r="321" spans="9:11" ht="15">
      <c r="I321" s="88"/>
      <c r="J321" s="88">
        <v>20380</v>
      </c>
      <c r="K321" s="96" t="s">
        <v>1</v>
      </c>
    </row>
  </sheetData>
  <autoFilter ref="C2:G81" xr:uid="{DEDF1D5A-6937-490C-A59E-585A620AC7E4}"/>
  <conditionalFormatting sqref="J25">
    <cfRule type="duplicateValues" dxfId="127" priority="1"/>
  </conditionalFormatting>
  <conditionalFormatting sqref="J97">
    <cfRule type="duplicateValues" dxfId="126" priority="7"/>
  </conditionalFormatting>
  <conditionalFormatting sqref="J158">
    <cfRule type="duplicateValues" dxfId="125" priority="3"/>
  </conditionalFormatting>
  <conditionalFormatting sqref="J288">
    <cfRule type="duplicateValues" dxfId="124" priority="6"/>
  </conditionalFormatting>
  <conditionalFormatting sqref="J314">
    <cfRule type="duplicateValues" dxfId="123" priority="2"/>
  </conditionalFormatting>
  <conditionalFormatting sqref="J217">
    <cfRule type="duplicateValues" dxfId="122" priority="4"/>
    <cfRule type="duplicateValues" dxfId="121" priority="5"/>
  </conditionalFormatting>
  <pageMargins left="0.7" right="0.7" top="0.75" bottom="0.75" header="0.3" footer="0.3"/>
  <headerFooter>
    <oddHeader>&amp;L&amp;"Arial"&amp;8&amp;K000000 INTERNAL&amp;1#_x000D_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1163-5CA5-4D6C-BFD4-C8DDB1DB624C}">
  <sheetPr codeName="Sheet3"/>
  <dimension ref="A1:AH263"/>
  <sheetViews>
    <sheetView showGridLines="0" zoomScaleNormal="70" workbookViewId="0">
      <selection activeCell="C6" sqref="C6:M6"/>
    </sheetView>
  </sheetViews>
  <sheetFormatPr defaultRowHeight="13.8"/>
  <cols>
    <col min="1" max="1" width="12.8984375" style="12" bestFit="1" customWidth="1"/>
    <col min="2" max="2" width="27.8984375" style="12" bestFit="1" customWidth="1"/>
    <col min="3" max="3" width="29.8984375" style="12" bestFit="1" customWidth="1"/>
    <col min="4" max="4" width="20.19921875" style="12" bestFit="1" customWidth="1"/>
    <col min="5" max="5" width="18" style="12" bestFit="1" customWidth="1"/>
    <col min="6" max="6" width="14.09765625" style="12" bestFit="1" customWidth="1"/>
    <col min="7" max="7" width="9" style="12" bestFit="1" customWidth="1"/>
    <col min="8" max="8" width="9.19921875" style="12"/>
    <col min="9" max="9" width="12.8984375" style="12" bestFit="1" customWidth="1"/>
    <col min="10" max="10" width="29.69921875" style="12" bestFit="1" customWidth="1"/>
    <col min="11" max="11" width="16.8984375" style="12" bestFit="1" customWidth="1"/>
    <col min="12" max="12" width="15.09765625" style="12" bestFit="1" customWidth="1"/>
    <col min="13" max="13" width="20" style="12" bestFit="1" customWidth="1"/>
    <col min="14" max="14" width="5.19921875" style="12" bestFit="1" customWidth="1"/>
    <col min="15" max="15" width="15.5" style="12" bestFit="1" customWidth="1"/>
    <col min="16" max="16" width="9.19921875" style="12"/>
    <col min="17" max="17" width="21.296875" style="12" bestFit="1" customWidth="1"/>
    <col min="18" max="18" width="9.19921875" style="12"/>
    <col min="19" max="19" width="1.5" style="12" customWidth="1"/>
    <col min="20" max="20" width="25.796875" style="12" bestFit="1" customWidth="1"/>
    <col min="21" max="21" width="21.09765625" style="12" bestFit="1" customWidth="1"/>
    <col min="22" max="22" width="11.296875" style="12" customWidth="1"/>
    <col min="23" max="23" width="1.5" style="12" customWidth="1"/>
    <col min="24" max="24" width="12.8984375" style="12" bestFit="1" customWidth="1"/>
    <col min="25" max="25" width="26.69921875" bestFit="1" customWidth="1"/>
    <col min="26" max="26" width="5.796875" customWidth="1"/>
    <col min="27" max="27" width="12.8984375" bestFit="1" customWidth="1"/>
    <col min="28" max="28" width="26.69921875" bestFit="1" customWidth="1"/>
    <col min="29" max="29" width="14.5" bestFit="1" customWidth="1"/>
    <col min="30" max="30" width="12.09765625" bestFit="1" customWidth="1"/>
    <col min="31" max="31" width="26.69921875" bestFit="1" customWidth="1"/>
    <col min="32" max="32" width="14.5" bestFit="1" customWidth="1"/>
    <col min="33" max="33" width="12.09765625" bestFit="1" customWidth="1"/>
    <col min="34" max="34" width="26.69921875" bestFit="1" customWidth="1"/>
  </cols>
  <sheetData>
    <row r="1" spans="1:34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4"/>
      <c r="Z1" s="14"/>
      <c r="AA1" s="14"/>
      <c r="AB1" s="14"/>
    </row>
    <row r="2" spans="1:34">
      <c r="A2" s="15" t="s">
        <v>194</v>
      </c>
      <c r="B2" s="15" t="s">
        <v>508</v>
      </c>
      <c r="C2" s="15"/>
      <c r="D2" s="15"/>
      <c r="E2" s="15"/>
      <c r="F2" s="15"/>
      <c r="G2" s="15"/>
      <c r="H2" s="15"/>
      <c r="I2" s="15" t="s">
        <v>194</v>
      </c>
      <c r="J2" s="15" t="s">
        <v>508</v>
      </c>
      <c r="K2" s="15"/>
      <c r="L2" s="15"/>
      <c r="M2" s="15"/>
      <c r="N2" s="15"/>
      <c r="O2" s="15"/>
      <c r="P2" s="15"/>
      <c r="Q2" s="15"/>
      <c r="R2" s="15"/>
      <c r="S2" s="15"/>
      <c r="T2" s="15" t="str">
        <f>J2</f>
        <v>Gurudev Motors Pvt. Ltd1453</v>
      </c>
      <c r="U2" s="15"/>
      <c r="V2" s="15"/>
      <c r="W2" s="15"/>
      <c r="X2" s="15" t="s">
        <v>194</v>
      </c>
      <c r="Y2" s="15" t="s">
        <v>508</v>
      </c>
      <c r="Z2" s="15"/>
      <c r="AA2" s="15" t="s">
        <v>194</v>
      </c>
      <c r="AB2" s="15" t="s">
        <v>508</v>
      </c>
      <c r="AC2" s="15"/>
      <c r="AD2" s="15" t="s">
        <v>194</v>
      </c>
      <c r="AE2" s="15" t="s">
        <v>508</v>
      </c>
      <c r="AF2" s="15"/>
      <c r="AG2" s="15" t="s">
        <v>194</v>
      </c>
      <c r="AH2" s="15" t="s">
        <v>508</v>
      </c>
    </row>
    <row r="3" spans="1:3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 t="s">
        <v>490</v>
      </c>
      <c r="R3" s="15"/>
      <c r="S3" s="15" t="s">
        <v>492</v>
      </c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</row>
    <row r="4" spans="1:34">
      <c r="A4" s="15" t="s">
        <v>476</v>
      </c>
      <c r="B4" s="15" t="s">
        <v>564</v>
      </c>
      <c r="C4" s="15" t="s">
        <v>565</v>
      </c>
      <c r="D4" s="15" t="s">
        <v>566</v>
      </c>
      <c r="E4" s="15" t="s">
        <v>567</v>
      </c>
      <c r="F4" s="15" t="s">
        <v>568</v>
      </c>
      <c r="G4" s="15" t="s">
        <v>478</v>
      </c>
      <c r="H4" s="15"/>
      <c r="I4" s="15" t="s">
        <v>476</v>
      </c>
      <c r="J4" s="15" t="s">
        <v>569</v>
      </c>
      <c r="K4" s="15" t="s">
        <v>570</v>
      </c>
      <c r="L4" s="15" t="s">
        <v>571</v>
      </c>
      <c r="M4" s="15" t="s">
        <v>572</v>
      </c>
      <c r="N4" s="15" t="s">
        <v>1048</v>
      </c>
      <c r="O4" s="15" t="s">
        <v>573</v>
      </c>
      <c r="P4" s="15"/>
      <c r="Q4" s="15" t="s">
        <v>491</v>
      </c>
      <c r="R4" s="16">
        <v>0</v>
      </c>
      <c r="S4" s="15" t="s">
        <v>493</v>
      </c>
      <c r="T4" s="16">
        <f>SUM(V4,V5)</f>
        <v>186</v>
      </c>
      <c r="U4" s="15" t="s">
        <v>504</v>
      </c>
      <c r="V4" s="16">
        <f>SUM(Sheet1!C17)</f>
        <v>142</v>
      </c>
      <c r="W4" s="15"/>
      <c r="X4" s="15" t="s">
        <v>476</v>
      </c>
      <c r="Y4" s="15" t="s">
        <v>576</v>
      </c>
      <c r="AA4" s="15" t="s">
        <v>476</v>
      </c>
      <c r="AB4" s="15" t="s">
        <v>578</v>
      </c>
      <c r="AD4" s="17" t="s">
        <v>583</v>
      </c>
      <c r="AE4" s="17" t="s">
        <v>584</v>
      </c>
      <c r="AG4" s="15" t="s">
        <v>583</v>
      </c>
      <c r="AH4" s="17" t="s">
        <v>585</v>
      </c>
    </row>
    <row r="5" spans="1:34">
      <c r="A5" s="146">
        <v>10118</v>
      </c>
      <c r="B5" s="16">
        <v>100</v>
      </c>
      <c r="C5" s="16">
        <v>100</v>
      </c>
      <c r="D5" s="16">
        <v>0</v>
      </c>
      <c r="E5" s="16">
        <v>0</v>
      </c>
      <c r="F5" s="16">
        <v>80</v>
      </c>
      <c r="G5" s="16">
        <v>100</v>
      </c>
      <c r="H5" s="15"/>
      <c r="I5" s="146">
        <v>10118</v>
      </c>
      <c r="J5" s="16">
        <v>100</v>
      </c>
      <c r="K5" s="16">
        <v>50</v>
      </c>
      <c r="L5" s="16">
        <v>80</v>
      </c>
      <c r="M5" s="16">
        <v>75</v>
      </c>
      <c r="N5" s="17">
        <v>75</v>
      </c>
      <c r="O5" s="16">
        <v>100</v>
      </c>
      <c r="P5" s="15"/>
      <c r="Q5" s="15" t="s">
        <v>497</v>
      </c>
      <c r="R5" s="16">
        <v>250</v>
      </c>
      <c r="S5" s="15" t="s">
        <v>494</v>
      </c>
      <c r="T5" s="15">
        <v>10</v>
      </c>
      <c r="U5" s="15" t="s">
        <v>505</v>
      </c>
      <c r="V5" s="16">
        <f>SUM(Sheet1!C32)</f>
        <v>44</v>
      </c>
      <c r="W5" s="15"/>
      <c r="X5" s="146">
        <v>10118</v>
      </c>
      <c r="Y5" s="148">
        <v>0.1103448275862069</v>
      </c>
      <c r="AA5" s="146">
        <v>10118</v>
      </c>
      <c r="AB5" s="148">
        <v>0.15246406570841892</v>
      </c>
      <c r="AD5" s="146">
        <v>10118</v>
      </c>
      <c r="AE5" s="147">
        <v>4.5999999999999996</v>
      </c>
      <c r="AG5" s="146">
        <v>10118</v>
      </c>
      <c r="AH5" s="147">
        <v>4.5999999999999996</v>
      </c>
    </row>
    <row r="6" spans="1:34">
      <c r="A6" s="146">
        <v>20039</v>
      </c>
      <c r="B6" s="16">
        <v>100</v>
      </c>
      <c r="C6" s="16">
        <v>0</v>
      </c>
      <c r="D6" s="16">
        <v>0</v>
      </c>
      <c r="E6" s="16">
        <v>50</v>
      </c>
      <c r="F6" s="16">
        <v>80</v>
      </c>
      <c r="G6" s="16">
        <v>0</v>
      </c>
      <c r="H6" s="15"/>
      <c r="I6" s="146">
        <v>20061</v>
      </c>
      <c r="J6" s="16">
        <v>80</v>
      </c>
      <c r="K6" s="16">
        <v>50</v>
      </c>
      <c r="L6" s="16">
        <v>80</v>
      </c>
      <c r="M6" s="16">
        <v>60</v>
      </c>
      <c r="N6" s="17">
        <v>75</v>
      </c>
      <c r="O6" s="16">
        <v>100</v>
      </c>
      <c r="P6" s="15"/>
      <c r="Q6" s="15" t="s">
        <v>498</v>
      </c>
      <c r="R6" s="16">
        <v>250</v>
      </c>
      <c r="S6" s="15" t="s">
        <v>495</v>
      </c>
      <c r="T6" s="15">
        <v>1380</v>
      </c>
      <c r="U6" s="15"/>
      <c r="V6" s="15" t="str">
        <f>_xlfn.CONCAT(U4," ",TEXT(V4,"000"))</f>
        <v>Sales Score 142</v>
      </c>
      <c r="W6" s="15"/>
      <c r="X6" s="146">
        <v>20039</v>
      </c>
      <c r="Y6" s="148">
        <v>0.22758620689655173</v>
      </c>
      <c r="AA6" s="146">
        <v>20061</v>
      </c>
      <c r="AB6" s="148">
        <v>9.8049281314168388E-2</v>
      </c>
      <c r="AD6" s="146">
        <v>20039</v>
      </c>
      <c r="AE6" s="147">
        <v>4.7</v>
      </c>
      <c r="AG6" s="146">
        <v>20061</v>
      </c>
      <c r="AH6" s="147">
        <v>4.7</v>
      </c>
    </row>
    <row r="7" spans="1:34">
      <c r="A7" s="146">
        <v>20061</v>
      </c>
      <c r="B7" s="16">
        <v>100</v>
      </c>
      <c r="C7" s="16">
        <v>80</v>
      </c>
      <c r="D7" s="16">
        <v>50</v>
      </c>
      <c r="E7" s="16">
        <v>50</v>
      </c>
      <c r="F7" s="16">
        <v>80</v>
      </c>
      <c r="G7" s="16">
        <v>80</v>
      </c>
      <c r="H7" s="15"/>
      <c r="I7" s="146">
        <v>23039</v>
      </c>
      <c r="J7" s="16">
        <v>100</v>
      </c>
      <c r="K7" s="16">
        <v>40</v>
      </c>
      <c r="L7" s="16">
        <v>80</v>
      </c>
      <c r="M7" s="16">
        <v>75</v>
      </c>
      <c r="N7" s="17">
        <v>75</v>
      </c>
      <c r="O7" s="16">
        <v>80</v>
      </c>
      <c r="P7" s="15"/>
      <c r="Q7" s="15" t="s">
        <v>499</v>
      </c>
      <c r="R7" s="16">
        <v>250</v>
      </c>
      <c r="S7" s="15"/>
      <c r="T7" s="15"/>
      <c r="U7" s="15"/>
      <c r="V7" s="15" t="str">
        <f>_xlfn.CONCAT(U5," ",TEXT(V5,"000"))</f>
        <v>Service Score 044</v>
      </c>
      <c r="W7" s="15"/>
      <c r="X7" s="146">
        <v>20061</v>
      </c>
      <c r="Y7" s="148">
        <v>7.586206896551724E-2</v>
      </c>
      <c r="Z7" s="14"/>
      <c r="AA7" s="146">
        <v>23039</v>
      </c>
      <c r="AB7" s="148">
        <v>0.4229979466119097</v>
      </c>
      <c r="AD7" s="146">
        <v>20061</v>
      </c>
      <c r="AE7" s="147">
        <v>4.7</v>
      </c>
      <c r="AG7" s="146">
        <v>23039</v>
      </c>
      <c r="AH7" s="147">
        <v>4.5999999999999996</v>
      </c>
    </row>
    <row r="8" spans="1:34">
      <c r="A8" s="146">
        <v>23039</v>
      </c>
      <c r="B8" s="16">
        <v>100</v>
      </c>
      <c r="C8" s="16">
        <v>0</v>
      </c>
      <c r="D8" s="16">
        <v>0</v>
      </c>
      <c r="E8" s="16">
        <v>50</v>
      </c>
      <c r="F8" s="16">
        <v>80</v>
      </c>
      <c r="G8" s="16">
        <v>100</v>
      </c>
      <c r="H8" s="15"/>
      <c r="I8" s="146">
        <v>10039</v>
      </c>
      <c r="J8" s="16">
        <v>100</v>
      </c>
      <c r="K8" s="16">
        <v>40</v>
      </c>
      <c r="L8" s="16">
        <v>80</v>
      </c>
      <c r="M8" s="16">
        <v>60</v>
      </c>
      <c r="N8" s="17">
        <v>0</v>
      </c>
      <c r="O8" s="16">
        <v>0</v>
      </c>
      <c r="P8" s="15"/>
      <c r="Q8" s="15" t="s">
        <v>500</v>
      </c>
      <c r="R8" s="16">
        <v>250</v>
      </c>
      <c r="S8" s="15"/>
      <c r="T8" s="15"/>
      <c r="U8" s="15"/>
      <c r="V8" s="15"/>
      <c r="W8" s="15"/>
      <c r="X8" s="146">
        <v>23039</v>
      </c>
      <c r="Y8" s="148">
        <v>0.26896551724137929</v>
      </c>
      <c r="Z8" s="14"/>
      <c r="AA8" s="146">
        <v>10039</v>
      </c>
      <c r="AB8" s="148">
        <v>0.32648870636550315</v>
      </c>
      <c r="AD8" s="146">
        <v>23039</v>
      </c>
      <c r="AE8" s="147">
        <v>4.5999999999999996</v>
      </c>
      <c r="AG8" s="146">
        <v>10039</v>
      </c>
      <c r="AH8" s="147">
        <v>4.5999999999999996</v>
      </c>
    </row>
    <row r="9" spans="1:34">
      <c r="A9" s="146" t="s">
        <v>109</v>
      </c>
      <c r="B9" s="16">
        <v>100</v>
      </c>
      <c r="C9" s="16">
        <v>100</v>
      </c>
      <c r="D9" s="16">
        <v>0</v>
      </c>
      <c r="E9" s="16">
        <v>0</v>
      </c>
      <c r="F9" s="16">
        <v>0</v>
      </c>
      <c r="G9" s="16">
        <v>100</v>
      </c>
      <c r="H9" s="15"/>
      <c r="I9" s="146">
        <v>20421</v>
      </c>
      <c r="J9" s="16">
        <v>100</v>
      </c>
      <c r="K9" s="16">
        <v>40</v>
      </c>
      <c r="L9" s="16">
        <v>80</v>
      </c>
      <c r="M9" s="16">
        <v>75</v>
      </c>
      <c r="N9" s="17">
        <v>60</v>
      </c>
      <c r="O9" s="16">
        <v>80</v>
      </c>
      <c r="P9" s="15"/>
      <c r="Q9" s="15" t="s">
        <v>496</v>
      </c>
      <c r="R9" s="15">
        <v>1000</v>
      </c>
      <c r="S9" s="15"/>
      <c r="T9" s="15"/>
      <c r="U9" s="15" t="s">
        <v>507</v>
      </c>
      <c r="V9" s="17" t="str">
        <f>IFERROR(VLOOKUP(Dashboard!A4,'Investor Master Data'!$C$4:$N$85,12,FALSE),"-")</f>
        <v>CAT 3</v>
      </c>
      <c r="W9" s="15"/>
      <c r="X9" s="146" t="s">
        <v>109</v>
      </c>
      <c r="Y9" s="148">
        <v>6.8965517241379309E-2</v>
      </c>
      <c r="Z9" s="14"/>
      <c r="AA9" s="146">
        <v>20421</v>
      </c>
      <c r="AB9" s="148">
        <v>0</v>
      </c>
      <c r="AD9" s="146" t="s">
        <v>109</v>
      </c>
      <c r="AE9" s="147">
        <v>4.8</v>
      </c>
      <c r="AG9" s="146">
        <v>20421</v>
      </c>
      <c r="AH9" s="147">
        <v>0</v>
      </c>
    </row>
    <row r="10" spans="1:34" ht="14.4" thickBot="1">
      <c r="A10" s="146" t="s">
        <v>111</v>
      </c>
      <c r="B10" s="16">
        <v>100</v>
      </c>
      <c r="C10" s="16">
        <v>80</v>
      </c>
      <c r="D10" s="16">
        <v>0</v>
      </c>
      <c r="E10" s="16">
        <v>50</v>
      </c>
      <c r="F10" s="16">
        <v>80</v>
      </c>
      <c r="G10" s="16">
        <v>80</v>
      </c>
      <c r="H10" s="15"/>
      <c r="I10"/>
      <c r="J10"/>
      <c r="K10"/>
      <c r="L10"/>
      <c r="M10"/>
      <c r="N10"/>
      <c r="O10"/>
      <c r="P10" s="15"/>
      <c r="Q10" s="15"/>
      <c r="R10" s="15"/>
      <c r="S10" s="15"/>
      <c r="T10" s="15"/>
      <c r="V10" s="49" t="s">
        <v>687</v>
      </c>
      <c r="W10" s="15"/>
      <c r="X10" s="146" t="s">
        <v>111</v>
      </c>
      <c r="Y10" s="148">
        <v>0.13793103448275862</v>
      </c>
      <c r="Z10" s="14"/>
      <c r="AD10" s="146" t="s">
        <v>111</v>
      </c>
      <c r="AE10" s="147">
        <v>4.8</v>
      </c>
    </row>
    <row r="11" spans="1:34">
      <c r="A11" s="146" t="s">
        <v>110</v>
      </c>
      <c r="B11" s="16">
        <v>100</v>
      </c>
      <c r="C11" s="16">
        <v>0</v>
      </c>
      <c r="D11" s="16">
        <v>0</v>
      </c>
      <c r="E11" s="16">
        <v>50</v>
      </c>
      <c r="F11" s="16">
        <v>80</v>
      </c>
      <c r="G11" s="16">
        <v>80</v>
      </c>
      <c r="H11" s="15"/>
      <c r="I11"/>
      <c r="J11"/>
      <c r="K11"/>
      <c r="L11"/>
      <c r="M11"/>
      <c r="N11"/>
      <c r="O11"/>
      <c r="P11" s="15"/>
      <c r="Q11" s="172" t="s">
        <v>774</v>
      </c>
      <c r="R11" s="173"/>
      <c r="S11" s="2"/>
      <c r="T11" s="130" t="s">
        <v>762</v>
      </c>
      <c r="V11" s="15"/>
      <c r="W11" s="15"/>
      <c r="X11" s="146" t="s">
        <v>110</v>
      </c>
      <c r="Y11" s="148">
        <v>0.1103448275862069</v>
      </c>
      <c r="Z11" s="14"/>
      <c r="AD11" s="146" t="s">
        <v>110</v>
      </c>
      <c r="AE11" s="147">
        <v>4.8</v>
      </c>
    </row>
    <row r="12" spans="1:34">
      <c r="A12"/>
      <c r="B12"/>
      <c r="C12"/>
      <c r="D12"/>
      <c r="E12"/>
      <c r="F12"/>
      <c r="G12"/>
      <c r="I12"/>
      <c r="J12"/>
      <c r="K12"/>
      <c r="L12"/>
      <c r="M12"/>
      <c r="N12"/>
      <c r="O12"/>
      <c r="Q12" s="71" t="s">
        <v>601</v>
      </c>
      <c r="R12" s="73">
        <f>IFERROR(VLOOKUP(T2,'Investor Master Data'!$C$3:$G$85,5,FALSE),"-")</f>
        <v>1.1716417910447761</v>
      </c>
      <c r="S12" s="2"/>
      <c r="T12" s="131" t="s">
        <v>838</v>
      </c>
      <c r="X12"/>
    </row>
    <row r="13" spans="1:34" ht="14.4" thickBot="1">
      <c r="A13"/>
      <c r="B13"/>
      <c r="C13"/>
      <c r="D13"/>
      <c r="E13"/>
      <c r="F13"/>
      <c r="G13"/>
      <c r="I13"/>
      <c r="J13"/>
      <c r="K13"/>
      <c r="L13"/>
      <c r="M13"/>
      <c r="N13"/>
      <c r="O13"/>
      <c r="Q13" s="72" t="s">
        <v>600</v>
      </c>
      <c r="R13" s="129">
        <f>IFERROR(VLOOKUP(T2,'Investor Master Data'!$C$3:$H$85,6,FALSE),"-")</f>
        <v>0.90835819661190953</v>
      </c>
      <c r="S13" s="2"/>
      <c r="T13" s="131" t="s">
        <v>1089</v>
      </c>
      <c r="X13"/>
    </row>
    <row r="14" spans="1:34" ht="14.4" thickBot="1">
      <c r="A14"/>
      <c r="B14"/>
      <c r="C14"/>
      <c r="D14"/>
      <c r="E14"/>
      <c r="F14"/>
      <c r="G14"/>
      <c r="I14"/>
      <c r="J14"/>
      <c r="K14"/>
      <c r="L14"/>
      <c r="M14"/>
      <c r="N14"/>
      <c r="O14"/>
      <c r="T14" s="132" t="s">
        <v>839</v>
      </c>
      <c r="X14"/>
    </row>
    <row r="15" spans="1:34">
      <c r="A15"/>
      <c r="B15"/>
      <c r="C15"/>
      <c r="D15"/>
      <c r="E15"/>
      <c r="F15"/>
      <c r="G15"/>
      <c r="I15"/>
      <c r="J15"/>
      <c r="K15"/>
      <c r="L15"/>
      <c r="M15"/>
      <c r="N15"/>
      <c r="O15"/>
      <c r="Q15"/>
      <c r="R15"/>
      <c r="S15"/>
      <c r="T15"/>
      <c r="X15"/>
    </row>
    <row r="16" spans="1:34">
      <c r="A16"/>
      <c r="B16"/>
      <c r="C16"/>
      <c r="D16"/>
      <c r="E16"/>
      <c r="F16"/>
      <c r="G16"/>
      <c r="I16"/>
      <c r="J16"/>
      <c r="K16"/>
      <c r="L16"/>
      <c r="M16"/>
      <c r="N16"/>
      <c r="O16"/>
      <c r="Q16"/>
      <c r="R16"/>
      <c r="S16"/>
      <c r="T16"/>
      <c r="X16"/>
    </row>
    <row r="17" spans="1:24" customFormat="1">
      <c r="H17" s="12"/>
      <c r="P17" s="12"/>
      <c r="U17" s="12"/>
      <c r="V17" s="12"/>
      <c r="W17" s="12"/>
    </row>
    <row r="18" spans="1:24">
      <c r="A18"/>
      <c r="B18"/>
      <c r="C18"/>
      <c r="D18"/>
      <c r="E18"/>
      <c r="F18"/>
      <c r="G18"/>
      <c r="I18"/>
      <c r="J18"/>
      <c r="K18"/>
      <c r="L18"/>
      <c r="M18"/>
      <c r="N18"/>
      <c r="O18"/>
      <c r="X18"/>
    </row>
    <row r="19" spans="1:24">
      <c r="A19"/>
      <c r="B19"/>
      <c r="C19"/>
      <c r="D19"/>
      <c r="E19"/>
      <c r="F19"/>
      <c r="G19"/>
      <c r="I19"/>
      <c r="J19"/>
      <c r="K19"/>
      <c r="L19"/>
      <c r="M19"/>
      <c r="N19"/>
      <c r="O19"/>
      <c r="X19"/>
    </row>
    <row r="20" spans="1:24" customFormat="1">
      <c r="H20" s="12"/>
      <c r="P20" s="12"/>
      <c r="T20" s="12"/>
      <c r="U20" s="12"/>
      <c r="V20" s="12"/>
      <c r="W20" s="12"/>
    </row>
    <row r="21" spans="1:24">
      <c r="A21"/>
      <c r="B21"/>
      <c r="C21"/>
      <c r="D21"/>
      <c r="E21"/>
      <c r="F21"/>
      <c r="G21"/>
      <c r="I21"/>
      <c r="J21"/>
      <c r="K21"/>
      <c r="L21"/>
      <c r="M21"/>
      <c r="N21"/>
      <c r="O21"/>
      <c r="X21"/>
    </row>
    <row r="22" spans="1:24">
      <c r="A22"/>
      <c r="B22"/>
      <c r="C22"/>
      <c r="D22"/>
      <c r="E22"/>
      <c r="F22"/>
      <c r="G22"/>
      <c r="I22"/>
      <c r="J22"/>
      <c r="K22"/>
      <c r="L22"/>
      <c r="M22"/>
      <c r="N22"/>
      <c r="O22"/>
      <c r="X22"/>
    </row>
    <row r="23" spans="1:24">
      <c r="A23"/>
      <c r="B23"/>
      <c r="C23"/>
      <c r="D23"/>
      <c r="E23"/>
      <c r="F23"/>
      <c r="G23"/>
      <c r="I23"/>
      <c r="J23"/>
      <c r="K23"/>
      <c r="L23"/>
      <c r="M23"/>
      <c r="N23"/>
      <c r="O23"/>
      <c r="X23"/>
    </row>
    <row r="24" spans="1:24">
      <c r="A24"/>
      <c r="B24"/>
      <c r="C24"/>
      <c r="D24"/>
      <c r="E24"/>
      <c r="F24"/>
      <c r="G24"/>
      <c r="I24"/>
      <c r="J24"/>
      <c r="K24"/>
      <c r="L24"/>
      <c r="M24"/>
      <c r="N24"/>
      <c r="O24"/>
      <c r="X24"/>
    </row>
    <row r="25" spans="1:24">
      <c r="A25"/>
      <c r="B25"/>
      <c r="C25"/>
      <c r="D25"/>
      <c r="E25"/>
      <c r="F25"/>
      <c r="G25"/>
      <c r="I25"/>
      <c r="J25"/>
      <c r="K25"/>
      <c r="L25"/>
      <c r="M25"/>
      <c r="N25"/>
      <c r="O25"/>
      <c r="X25"/>
    </row>
    <row r="26" spans="1:24">
      <c r="A26"/>
      <c r="B26"/>
      <c r="C26"/>
      <c r="D26"/>
      <c r="E26"/>
      <c r="F26"/>
      <c r="G26"/>
      <c r="I26"/>
      <c r="J26"/>
      <c r="K26"/>
      <c r="L26"/>
      <c r="M26"/>
      <c r="N26"/>
      <c r="O26"/>
      <c r="X26"/>
    </row>
    <row r="27" spans="1:24">
      <c r="A27"/>
      <c r="B27"/>
      <c r="C27"/>
      <c r="D27"/>
      <c r="E27"/>
      <c r="F27"/>
      <c r="G27"/>
      <c r="I27"/>
      <c r="J27"/>
      <c r="K27"/>
      <c r="L27"/>
      <c r="M27"/>
      <c r="N27"/>
      <c r="O27"/>
      <c r="X27"/>
    </row>
    <row r="28" spans="1:24">
      <c r="A28"/>
      <c r="B28"/>
      <c r="C28"/>
      <c r="D28"/>
      <c r="E28"/>
      <c r="F28"/>
      <c r="G28"/>
      <c r="I28"/>
      <c r="J28"/>
      <c r="K28"/>
      <c r="L28"/>
      <c r="M28"/>
      <c r="N28"/>
      <c r="O28"/>
      <c r="X28"/>
    </row>
    <row r="29" spans="1:24">
      <c r="A29"/>
      <c r="B29"/>
      <c r="C29"/>
      <c r="D29"/>
      <c r="E29"/>
      <c r="F29"/>
      <c r="G29"/>
      <c r="I29"/>
      <c r="J29"/>
      <c r="K29"/>
      <c r="L29"/>
      <c r="M29"/>
      <c r="N29"/>
      <c r="O29"/>
      <c r="X29"/>
    </row>
    <row r="30" spans="1:24">
      <c r="A30"/>
      <c r="B30"/>
      <c r="C30"/>
      <c r="D30"/>
      <c r="E30"/>
      <c r="F30"/>
      <c r="G30"/>
      <c r="I30"/>
      <c r="J30"/>
      <c r="K30"/>
      <c r="L30"/>
      <c r="M30"/>
      <c r="N30"/>
      <c r="O30"/>
      <c r="X30"/>
    </row>
    <row r="31" spans="1:24">
      <c r="A31"/>
      <c r="B31"/>
      <c r="C31"/>
      <c r="D31"/>
      <c r="E31"/>
      <c r="F31"/>
      <c r="G31"/>
      <c r="I31"/>
      <c r="J31"/>
      <c r="K31"/>
      <c r="L31"/>
      <c r="M31"/>
      <c r="N31"/>
      <c r="O31"/>
      <c r="X31"/>
    </row>
    <row r="32" spans="1:24">
      <c r="A32"/>
      <c r="B32"/>
      <c r="C32"/>
      <c r="D32"/>
      <c r="E32"/>
      <c r="F32"/>
      <c r="G32"/>
      <c r="I32"/>
      <c r="J32"/>
      <c r="K32"/>
      <c r="L32"/>
      <c r="M32"/>
      <c r="N32"/>
      <c r="O32"/>
      <c r="X32"/>
    </row>
    <row r="33" spans="1:24">
      <c r="A33"/>
      <c r="B33"/>
      <c r="C33"/>
      <c r="D33"/>
      <c r="E33"/>
      <c r="F33"/>
      <c r="G33"/>
      <c r="I33"/>
      <c r="J33"/>
      <c r="K33"/>
      <c r="L33"/>
      <c r="M33"/>
      <c r="N33"/>
      <c r="O33"/>
      <c r="X33"/>
    </row>
    <row r="34" spans="1:24">
      <c r="A34"/>
      <c r="B34"/>
      <c r="C34"/>
      <c r="D34"/>
      <c r="E34"/>
      <c r="F34"/>
      <c r="G34"/>
      <c r="I34"/>
      <c r="J34"/>
      <c r="K34"/>
      <c r="L34"/>
      <c r="M34"/>
      <c r="N34"/>
      <c r="O34"/>
      <c r="X34"/>
    </row>
    <row r="35" spans="1:24">
      <c r="A35"/>
      <c r="B35"/>
      <c r="C35"/>
      <c r="D35"/>
      <c r="E35"/>
      <c r="F35"/>
      <c r="G35"/>
      <c r="I35"/>
      <c r="J35"/>
      <c r="K35"/>
      <c r="L35"/>
      <c r="M35"/>
      <c r="N35"/>
      <c r="O35"/>
      <c r="X35"/>
    </row>
    <row r="36" spans="1:24">
      <c r="A36"/>
      <c r="B36"/>
      <c r="C36"/>
      <c r="D36"/>
      <c r="E36"/>
      <c r="F36"/>
      <c r="G36"/>
      <c r="I36"/>
      <c r="J36"/>
      <c r="K36"/>
      <c r="L36"/>
      <c r="M36"/>
      <c r="N36"/>
      <c r="O36"/>
      <c r="X36"/>
    </row>
    <row r="37" spans="1:24">
      <c r="A37"/>
      <c r="B37"/>
      <c r="C37"/>
      <c r="D37"/>
      <c r="E37"/>
      <c r="F37"/>
      <c r="G37"/>
      <c r="I37"/>
      <c r="J37"/>
      <c r="K37"/>
      <c r="L37"/>
      <c r="M37"/>
      <c r="N37"/>
      <c r="O37"/>
      <c r="X37"/>
    </row>
    <row r="38" spans="1:24">
      <c r="A38"/>
      <c r="B38"/>
      <c r="C38"/>
      <c r="D38"/>
      <c r="E38"/>
      <c r="F38"/>
      <c r="G38"/>
      <c r="I38"/>
      <c r="J38"/>
      <c r="K38"/>
      <c r="L38"/>
      <c r="M38"/>
      <c r="N38"/>
      <c r="O38"/>
      <c r="X38"/>
    </row>
    <row r="39" spans="1:24">
      <c r="A39"/>
      <c r="B39"/>
      <c r="C39"/>
      <c r="D39"/>
      <c r="E39"/>
      <c r="F39"/>
      <c r="G39"/>
      <c r="I39"/>
      <c r="J39"/>
      <c r="K39"/>
      <c r="L39"/>
      <c r="M39"/>
      <c r="N39"/>
      <c r="O39"/>
      <c r="X39"/>
    </row>
    <row r="40" spans="1:24">
      <c r="A40"/>
      <c r="B40"/>
      <c r="C40"/>
      <c r="D40"/>
      <c r="E40"/>
      <c r="F40"/>
      <c r="G40"/>
      <c r="I40"/>
      <c r="J40"/>
      <c r="K40"/>
      <c r="L40"/>
      <c r="M40"/>
      <c r="N40"/>
      <c r="O40"/>
      <c r="X40"/>
    </row>
    <row r="41" spans="1:24">
      <c r="A41"/>
      <c r="B41"/>
      <c r="C41"/>
      <c r="D41"/>
      <c r="E41"/>
      <c r="F41"/>
      <c r="G41"/>
      <c r="I41"/>
      <c r="J41"/>
      <c r="K41"/>
      <c r="L41"/>
      <c r="M41"/>
      <c r="N41"/>
      <c r="O41"/>
      <c r="X41"/>
    </row>
    <row r="42" spans="1:24">
      <c r="A42"/>
      <c r="B42"/>
      <c r="C42"/>
      <c r="D42"/>
      <c r="E42"/>
      <c r="F42"/>
      <c r="G42"/>
      <c r="I42"/>
      <c r="J42"/>
      <c r="K42"/>
      <c r="L42"/>
      <c r="M42"/>
      <c r="N42"/>
      <c r="O42"/>
      <c r="X42"/>
    </row>
    <row r="43" spans="1:24">
      <c r="A43"/>
      <c r="B43"/>
      <c r="C43"/>
      <c r="D43"/>
      <c r="E43"/>
      <c r="F43"/>
      <c r="G43"/>
      <c r="I43"/>
      <c r="J43"/>
      <c r="K43"/>
      <c r="L43"/>
      <c r="M43"/>
      <c r="N43"/>
      <c r="O43"/>
      <c r="X43"/>
    </row>
    <row r="44" spans="1:24">
      <c r="A44"/>
      <c r="B44"/>
      <c r="C44"/>
      <c r="D44"/>
      <c r="E44"/>
      <c r="F44"/>
      <c r="G44"/>
      <c r="I44"/>
      <c r="J44"/>
      <c r="K44"/>
      <c r="L44"/>
      <c r="M44"/>
      <c r="N44"/>
      <c r="O44"/>
      <c r="X44"/>
    </row>
    <row r="45" spans="1:24">
      <c r="A45"/>
      <c r="B45"/>
      <c r="C45"/>
      <c r="D45"/>
      <c r="E45"/>
      <c r="F45"/>
      <c r="G45"/>
      <c r="I45"/>
      <c r="J45"/>
      <c r="K45"/>
      <c r="L45"/>
      <c r="M45"/>
      <c r="N45"/>
      <c r="O45"/>
      <c r="X45"/>
    </row>
    <row r="46" spans="1:24">
      <c r="A46"/>
      <c r="B46"/>
      <c r="C46"/>
      <c r="D46"/>
      <c r="E46"/>
      <c r="F46"/>
      <c r="G46"/>
      <c r="I46"/>
      <c r="J46"/>
      <c r="K46"/>
      <c r="L46"/>
      <c r="M46"/>
      <c r="N46"/>
      <c r="O46"/>
      <c r="X46"/>
    </row>
    <row r="47" spans="1:24">
      <c r="A47"/>
      <c r="B47"/>
      <c r="C47"/>
      <c r="D47"/>
      <c r="E47"/>
      <c r="F47"/>
      <c r="G47"/>
      <c r="I47"/>
      <c r="J47"/>
      <c r="K47"/>
      <c r="L47"/>
      <c r="M47"/>
      <c r="N47"/>
      <c r="O47"/>
      <c r="X47"/>
    </row>
    <row r="48" spans="1:24">
      <c r="A48"/>
      <c r="B48"/>
      <c r="C48"/>
      <c r="D48"/>
      <c r="E48"/>
      <c r="F48"/>
      <c r="G48"/>
      <c r="I48"/>
      <c r="J48"/>
      <c r="K48"/>
      <c r="L48"/>
      <c r="M48"/>
      <c r="N48"/>
      <c r="O48"/>
      <c r="X48"/>
    </row>
    <row r="49" spans="1:24">
      <c r="A49"/>
      <c r="B49"/>
      <c r="C49"/>
      <c r="D49"/>
      <c r="E49"/>
      <c r="F49"/>
      <c r="G49"/>
      <c r="I49"/>
      <c r="J49"/>
      <c r="K49"/>
      <c r="L49"/>
      <c r="M49"/>
      <c r="N49"/>
      <c r="O49"/>
      <c r="X49"/>
    </row>
    <row r="50" spans="1:24">
      <c r="A50"/>
      <c r="B50"/>
      <c r="C50"/>
      <c r="D50"/>
      <c r="E50"/>
      <c r="F50"/>
      <c r="G50"/>
      <c r="I50"/>
      <c r="J50"/>
      <c r="K50"/>
      <c r="L50"/>
      <c r="M50"/>
      <c r="N50"/>
      <c r="O50"/>
      <c r="X50"/>
    </row>
    <row r="51" spans="1:24">
      <c r="A51"/>
      <c r="B51"/>
      <c r="C51"/>
      <c r="D51"/>
      <c r="E51"/>
      <c r="F51"/>
      <c r="G51"/>
      <c r="I51"/>
      <c r="J51"/>
      <c r="K51"/>
      <c r="L51"/>
      <c r="M51"/>
      <c r="N51"/>
      <c r="O51"/>
      <c r="X51"/>
    </row>
    <row r="52" spans="1:24">
      <c r="A52"/>
      <c r="B52"/>
      <c r="C52"/>
      <c r="D52"/>
      <c r="E52"/>
      <c r="F52"/>
      <c r="G52"/>
      <c r="I52"/>
      <c r="J52"/>
      <c r="K52"/>
      <c r="L52"/>
      <c r="M52"/>
      <c r="N52"/>
      <c r="O52"/>
      <c r="X52"/>
    </row>
    <row r="53" spans="1:24">
      <c r="A53"/>
      <c r="B53"/>
      <c r="C53"/>
      <c r="D53"/>
      <c r="E53"/>
      <c r="F53"/>
      <c r="G53"/>
      <c r="I53"/>
      <c r="J53"/>
      <c r="K53"/>
      <c r="L53"/>
      <c r="M53"/>
      <c r="N53"/>
      <c r="O53"/>
      <c r="X53"/>
    </row>
    <row r="54" spans="1:24">
      <c r="A54"/>
      <c r="B54"/>
      <c r="C54"/>
      <c r="D54"/>
      <c r="E54"/>
      <c r="F54"/>
      <c r="G54"/>
      <c r="I54"/>
      <c r="J54"/>
      <c r="K54"/>
      <c r="L54"/>
      <c r="M54"/>
      <c r="N54"/>
      <c r="O54"/>
      <c r="X54"/>
    </row>
    <row r="55" spans="1:24">
      <c r="A55"/>
      <c r="B55"/>
      <c r="C55"/>
      <c r="D55"/>
      <c r="E55"/>
      <c r="F55"/>
      <c r="G55"/>
      <c r="I55"/>
      <c r="J55"/>
      <c r="K55"/>
      <c r="L55"/>
      <c r="M55"/>
      <c r="N55"/>
      <c r="O55"/>
      <c r="X55"/>
    </row>
    <row r="56" spans="1:24">
      <c r="A56"/>
      <c r="B56"/>
      <c r="C56"/>
      <c r="D56"/>
      <c r="E56"/>
      <c r="F56"/>
      <c r="G56"/>
      <c r="I56"/>
      <c r="J56"/>
      <c r="K56"/>
      <c r="L56"/>
      <c r="M56"/>
      <c r="N56"/>
      <c r="O56"/>
      <c r="X56"/>
    </row>
    <row r="57" spans="1:24">
      <c r="A57"/>
      <c r="B57"/>
      <c r="C57"/>
      <c r="D57"/>
      <c r="E57"/>
      <c r="F57"/>
      <c r="G57"/>
      <c r="I57"/>
      <c r="J57"/>
      <c r="K57"/>
      <c r="L57"/>
      <c r="M57"/>
      <c r="N57"/>
      <c r="O57"/>
      <c r="X57"/>
    </row>
    <row r="58" spans="1:24">
      <c r="A58"/>
      <c r="B58"/>
      <c r="C58"/>
      <c r="D58"/>
      <c r="E58"/>
      <c r="F58"/>
      <c r="G58"/>
      <c r="I58"/>
      <c r="J58"/>
      <c r="K58"/>
      <c r="L58"/>
      <c r="M58"/>
      <c r="N58"/>
      <c r="O58"/>
      <c r="X58"/>
    </row>
    <row r="59" spans="1:24">
      <c r="A59"/>
      <c r="B59"/>
      <c r="C59"/>
      <c r="D59"/>
      <c r="E59"/>
      <c r="F59"/>
      <c r="G59"/>
      <c r="I59"/>
      <c r="J59"/>
      <c r="K59"/>
      <c r="L59"/>
      <c r="M59"/>
      <c r="N59"/>
      <c r="O59"/>
      <c r="X59"/>
    </row>
    <row r="60" spans="1:24">
      <c r="A60"/>
      <c r="B60"/>
      <c r="C60"/>
      <c r="D60"/>
      <c r="E60"/>
      <c r="F60"/>
      <c r="G60"/>
      <c r="I60"/>
      <c r="J60"/>
      <c r="K60"/>
      <c r="L60"/>
      <c r="M60"/>
      <c r="N60"/>
      <c r="O60"/>
      <c r="X60"/>
    </row>
    <row r="61" spans="1:24">
      <c r="A61"/>
      <c r="B61"/>
      <c r="C61"/>
      <c r="D61"/>
      <c r="E61"/>
      <c r="F61"/>
      <c r="G61"/>
      <c r="I61"/>
      <c r="J61"/>
      <c r="K61"/>
      <c r="L61"/>
      <c r="M61"/>
      <c r="N61"/>
      <c r="O61"/>
      <c r="X61"/>
    </row>
    <row r="62" spans="1:24">
      <c r="A62"/>
      <c r="B62"/>
      <c r="C62"/>
      <c r="D62"/>
      <c r="E62"/>
      <c r="F62"/>
      <c r="G62"/>
      <c r="I62"/>
      <c r="J62"/>
      <c r="K62"/>
      <c r="L62"/>
      <c r="M62"/>
      <c r="N62"/>
      <c r="O62"/>
      <c r="X62"/>
    </row>
    <row r="63" spans="1:24">
      <c r="A63"/>
      <c r="B63"/>
      <c r="C63"/>
      <c r="D63"/>
      <c r="E63"/>
      <c r="F63"/>
      <c r="G63"/>
      <c r="I63"/>
      <c r="J63"/>
      <c r="K63"/>
      <c r="L63"/>
      <c r="M63"/>
      <c r="N63"/>
      <c r="O63"/>
      <c r="X63"/>
    </row>
    <row r="64" spans="1:24">
      <c r="A64"/>
      <c r="B64"/>
      <c r="C64"/>
      <c r="D64"/>
      <c r="E64"/>
      <c r="F64"/>
      <c r="G64"/>
      <c r="I64"/>
      <c r="J64"/>
      <c r="K64"/>
      <c r="L64"/>
      <c r="M64"/>
      <c r="N64"/>
      <c r="O64"/>
      <c r="X64"/>
    </row>
    <row r="65" spans="1:24">
      <c r="A65"/>
      <c r="B65"/>
      <c r="C65"/>
      <c r="D65"/>
      <c r="E65"/>
      <c r="F65"/>
      <c r="G65"/>
      <c r="I65"/>
      <c r="J65"/>
      <c r="K65"/>
      <c r="L65"/>
      <c r="M65"/>
      <c r="N65"/>
      <c r="O65"/>
      <c r="X65"/>
    </row>
    <row r="66" spans="1:24">
      <c r="A66"/>
      <c r="B66"/>
      <c r="C66"/>
      <c r="D66"/>
      <c r="E66"/>
      <c r="F66"/>
      <c r="G66"/>
      <c r="I66"/>
      <c r="J66"/>
      <c r="K66"/>
      <c r="L66"/>
      <c r="M66"/>
      <c r="N66"/>
      <c r="O66"/>
      <c r="X66"/>
    </row>
    <row r="67" spans="1:24">
      <c r="A67"/>
      <c r="B67"/>
      <c r="C67"/>
      <c r="D67"/>
      <c r="E67"/>
      <c r="F67"/>
      <c r="G67"/>
      <c r="I67"/>
      <c r="J67"/>
      <c r="K67"/>
      <c r="L67"/>
      <c r="M67"/>
      <c r="N67"/>
      <c r="O67"/>
      <c r="X67"/>
    </row>
    <row r="68" spans="1:24">
      <c r="A68"/>
      <c r="B68"/>
      <c r="C68"/>
      <c r="D68"/>
      <c r="E68"/>
      <c r="F68"/>
      <c r="G68"/>
      <c r="I68"/>
      <c r="J68"/>
      <c r="K68"/>
      <c r="L68"/>
      <c r="M68"/>
      <c r="N68"/>
      <c r="O68"/>
      <c r="X68"/>
    </row>
    <row r="69" spans="1:24">
      <c r="A69"/>
      <c r="B69"/>
      <c r="C69"/>
      <c r="D69"/>
      <c r="E69"/>
      <c r="F69"/>
      <c r="G69"/>
      <c r="I69"/>
      <c r="J69"/>
      <c r="K69"/>
      <c r="L69"/>
      <c r="M69"/>
      <c r="N69"/>
      <c r="O69"/>
      <c r="X69"/>
    </row>
    <row r="70" spans="1:24">
      <c r="A70"/>
      <c r="B70"/>
      <c r="C70"/>
      <c r="D70"/>
      <c r="E70"/>
      <c r="F70"/>
      <c r="G70"/>
      <c r="I70"/>
      <c r="J70"/>
      <c r="K70"/>
      <c r="L70"/>
      <c r="M70"/>
      <c r="N70"/>
      <c r="O70"/>
      <c r="X70"/>
    </row>
    <row r="71" spans="1:24">
      <c r="A71"/>
      <c r="B71"/>
      <c r="C71"/>
      <c r="D71"/>
      <c r="E71"/>
      <c r="F71"/>
      <c r="G71"/>
      <c r="I71"/>
      <c r="J71"/>
      <c r="K71"/>
      <c r="L71"/>
      <c r="M71"/>
      <c r="N71"/>
      <c r="O71"/>
      <c r="X71"/>
    </row>
    <row r="72" spans="1:24">
      <c r="A72"/>
      <c r="B72"/>
      <c r="C72"/>
      <c r="D72"/>
      <c r="E72"/>
      <c r="F72"/>
      <c r="G72"/>
      <c r="I72"/>
      <c r="J72"/>
      <c r="K72"/>
      <c r="L72"/>
      <c r="M72"/>
      <c r="N72"/>
      <c r="O72"/>
      <c r="X72"/>
    </row>
    <row r="73" spans="1:24">
      <c r="A73"/>
      <c r="B73"/>
      <c r="C73"/>
      <c r="D73"/>
      <c r="E73"/>
      <c r="F73"/>
      <c r="G73"/>
      <c r="I73"/>
      <c r="J73"/>
      <c r="K73"/>
      <c r="L73"/>
      <c r="M73"/>
      <c r="N73"/>
      <c r="O73"/>
      <c r="X73"/>
    </row>
    <row r="74" spans="1:24">
      <c r="A74"/>
      <c r="B74"/>
      <c r="C74"/>
      <c r="D74"/>
      <c r="E74"/>
      <c r="F74"/>
      <c r="G74"/>
      <c r="I74"/>
      <c r="J74"/>
      <c r="K74"/>
      <c r="L74"/>
      <c r="M74"/>
      <c r="N74"/>
      <c r="O74"/>
      <c r="X74"/>
    </row>
    <row r="75" spans="1:24">
      <c r="A75"/>
      <c r="B75"/>
      <c r="C75"/>
      <c r="D75"/>
      <c r="E75"/>
      <c r="F75"/>
      <c r="G75"/>
      <c r="I75"/>
      <c r="J75"/>
      <c r="K75"/>
      <c r="L75"/>
      <c r="M75"/>
      <c r="N75"/>
      <c r="O75"/>
      <c r="X75"/>
    </row>
    <row r="76" spans="1:24">
      <c r="A76"/>
      <c r="B76"/>
      <c r="C76"/>
      <c r="D76"/>
      <c r="E76"/>
      <c r="F76"/>
      <c r="G76"/>
      <c r="I76"/>
      <c r="J76"/>
      <c r="K76"/>
      <c r="L76"/>
      <c r="M76"/>
      <c r="N76"/>
      <c r="O76"/>
      <c r="X76"/>
    </row>
    <row r="77" spans="1:24">
      <c r="A77"/>
      <c r="B77"/>
      <c r="C77"/>
      <c r="D77"/>
      <c r="E77"/>
      <c r="F77"/>
      <c r="G77"/>
      <c r="I77"/>
      <c r="J77"/>
      <c r="K77"/>
      <c r="L77"/>
      <c r="M77"/>
      <c r="N77"/>
      <c r="O77"/>
      <c r="X77"/>
    </row>
    <row r="78" spans="1:24">
      <c r="A78"/>
      <c r="B78"/>
      <c r="C78"/>
      <c r="D78"/>
      <c r="E78"/>
      <c r="F78"/>
      <c r="G78"/>
      <c r="I78"/>
      <c r="J78"/>
      <c r="K78"/>
      <c r="L78"/>
      <c r="M78"/>
      <c r="N78"/>
      <c r="O78"/>
      <c r="X78"/>
    </row>
    <row r="79" spans="1:24">
      <c r="A79"/>
      <c r="B79"/>
      <c r="C79"/>
      <c r="D79"/>
      <c r="E79"/>
      <c r="F79"/>
      <c r="G79"/>
      <c r="I79"/>
      <c r="J79"/>
      <c r="K79"/>
      <c r="L79"/>
      <c r="M79"/>
      <c r="N79"/>
      <c r="O79"/>
      <c r="X79"/>
    </row>
    <row r="80" spans="1:24">
      <c r="A80"/>
      <c r="B80"/>
      <c r="C80"/>
      <c r="D80"/>
      <c r="E80"/>
      <c r="F80"/>
      <c r="G80"/>
      <c r="I80"/>
      <c r="J80"/>
      <c r="K80"/>
      <c r="L80"/>
      <c r="M80"/>
      <c r="N80"/>
      <c r="O80"/>
      <c r="X80"/>
    </row>
    <row r="81" spans="1:24">
      <c r="A81"/>
      <c r="B81"/>
      <c r="C81"/>
      <c r="D81"/>
      <c r="E81"/>
      <c r="F81"/>
      <c r="G81"/>
      <c r="I81"/>
      <c r="J81"/>
      <c r="K81"/>
      <c r="L81"/>
      <c r="M81"/>
      <c r="N81"/>
      <c r="O81"/>
      <c r="X81"/>
    </row>
    <row r="82" spans="1:24">
      <c r="A82"/>
      <c r="B82"/>
      <c r="C82"/>
      <c r="D82"/>
      <c r="E82"/>
      <c r="F82"/>
      <c r="G82"/>
      <c r="I82"/>
      <c r="J82"/>
      <c r="K82"/>
      <c r="L82"/>
      <c r="M82"/>
      <c r="N82"/>
      <c r="O82"/>
      <c r="X82"/>
    </row>
    <row r="83" spans="1:24">
      <c r="A83"/>
      <c r="B83"/>
      <c r="C83"/>
      <c r="D83"/>
      <c r="E83"/>
      <c r="F83"/>
      <c r="G83"/>
      <c r="I83"/>
      <c r="J83"/>
      <c r="K83"/>
      <c r="L83"/>
      <c r="M83"/>
      <c r="N83"/>
      <c r="O83"/>
      <c r="X83"/>
    </row>
    <row r="84" spans="1:24">
      <c r="A84"/>
      <c r="B84"/>
      <c r="C84"/>
      <c r="D84"/>
      <c r="E84"/>
      <c r="F84"/>
      <c r="G84"/>
      <c r="I84"/>
      <c r="J84"/>
      <c r="K84"/>
      <c r="L84"/>
      <c r="M84"/>
      <c r="N84"/>
      <c r="O84"/>
      <c r="X84"/>
    </row>
    <row r="85" spans="1:24">
      <c r="A85"/>
      <c r="B85"/>
      <c r="C85"/>
      <c r="D85"/>
      <c r="E85"/>
      <c r="F85"/>
      <c r="G85"/>
      <c r="I85"/>
      <c r="J85"/>
      <c r="K85"/>
      <c r="L85"/>
      <c r="M85"/>
      <c r="N85"/>
      <c r="O85"/>
      <c r="X85"/>
    </row>
    <row r="86" spans="1:24">
      <c r="A86"/>
      <c r="B86"/>
      <c r="C86"/>
      <c r="D86"/>
      <c r="E86"/>
      <c r="F86"/>
      <c r="G86"/>
      <c r="I86"/>
      <c r="J86"/>
      <c r="K86"/>
      <c r="L86"/>
      <c r="M86"/>
      <c r="N86"/>
      <c r="O86"/>
      <c r="X86"/>
    </row>
    <row r="87" spans="1:24">
      <c r="A87"/>
      <c r="B87"/>
      <c r="C87"/>
      <c r="D87"/>
      <c r="E87"/>
      <c r="F87"/>
      <c r="G87"/>
      <c r="I87"/>
      <c r="J87"/>
      <c r="K87"/>
      <c r="L87"/>
      <c r="M87"/>
      <c r="N87"/>
      <c r="O87"/>
      <c r="X87"/>
    </row>
    <row r="88" spans="1:24">
      <c r="A88"/>
      <c r="B88"/>
      <c r="C88"/>
      <c r="D88"/>
      <c r="E88"/>
      <c r="F88"/>
      <c r="G88"/>
      <c r="I88"/>
      <c r="J88"/>
      <c r="K88"/>
      <c r="L88"/>
      <c r="M88"/>
      <c r="N88"/>
      <c r="O88"/>
      <c r="X88"/>
    </row>
    <row r="89" spans="1:24">
      <c r="A89"/>
      <c r="B89"/>
      <c r="C89"/>
      <c r="D89"/>
      <c r="E89"/>
      <c r="F89"/>
      <c r="G89"/>
      <c r="I89"/>
      <c r="J89"/>
      <c r="K89"/>
      <c r="L89"/>
      <c r="M89"/>
      <c r="N89"/>
      <c r="O89"/>
      <c r="X89"/>
    </row>
    <row r="90" spans="1:24">
      <c r="A90"/>
      <c r="B90"/>
      <c r="C90"/>
      <c r="D90"/>
      <c r="E90"/>
      <c r="F90"/>
      <c r="G90"/>
      <c r="I90"/>
      <c r="J90"/>
      <c r="K90"/>
      <c r="L90"/>
      <c r="M90"/>
      <c r="N90"/>
      <c r="O90"/>
      <c r="X90"/>
    </row>
    <row r="91" spans="1:24">
      <c r="A91"/>
      <c r="B91"/>
      <c r="C91"/>
      <c r="D91"/>
      <c r="E91"/>
      <c r="F91"/>
      <c r="G91"/>
      <c r="I91"/>
      <c r="J91"/>
      <c r="K91"/>
      <c r="L91"/>
      <c r="M91"/>
      <c r="N91"/>
      <c r="O91"/>
      <c r="X91"/>
    </row>
    <row r="92" spans="1:24">
      <c r="A92"/>
      <c r="B92"/>
      <c r="C92"/>
      <c r="D92"/>
      <c r="E92"/>
      <c r="F92"/>
      <c r="G92"/>
      <c r="I92"/>
      <c r="J92"/>
      <c r="K92"/>
      <c r="L92"/>
      <c r="M92"/>
      <c r="N92"/>
      <c r="O92"/>
      <c r="X92"/>
    </row>
    <row r="93" spans="1:24">
      <c r="A93"/>
      <c r="B93"/>
      <c r="C93"/>
      <c r="D93"/>
      <c r="E93"/>
      <c r="F93"/>
      <c r="G93"/>
      <c r="I93"/>
      <c r="J93"/>
      <c r="K93"/>
      <c r="L93"/>
      <c r="M93"/>
      <c r="N93"/>
      <c r="O93"/>
      <c r="X93"/>
    </row>
    <row r="94" spans="1:24">
      <c r="A94"/>
      <c r="B94"/>
      <c r="C94"/>
      <c r="D94"/>
      <c r="E94"/>
      <c r="F94"/>
      <c r="G94"/>
      <c r="I94"/>
      <c r="J94"/>
      <c r="K94"/>
      <c r="L94"/>
      <c r="M94"/>
      <c r="N94"/>
      <c r="O94"/>
      <c r="X94"/>
    </row>
    <row r="95" spans="1:24">
      <c r="A95"/>
      <c r="B95"/>
      <c r="C95"/>
      <c r="D95"/>
      <c r="E95"/>
      <c r="F95"/>
      <c r="G95"/>
      <c r="I95"/>
      <c r="J95"/>
      <c r="K95"/>
      <c r="L95"/>
      <c r="M95"/>
      <c r="N95"/>
      <c r="O95"/>
      <c r="X95"/>
    </row>
    <row r="96" spans="1:24">
      <c r="A96"/>
      <c r="B96"/>
      <c r="C96"/>
      <c r="D96"/>
      <c r="E96"/>
      <c r="F96"/>
      <c r="G96"/>
      <c r="I96"/>
      <c r="J96"/>
      <c r="K96"/>
      <c r="L96"/>
      <c r="M96"/>
      <c r="N96"/>
      <c r="O96"/>
      <c r="X96"/>
    </row>
    <row r="97" spans="1:24">
      <c r="A97"/>
      <c r="B97"/>
      <c r="C97"/>
      <c r="D97"/>
      <c r="E97"/>
      <c r="F97"/>
      <c r="G97"/>
      <c r="I97"/>
      <c r="J97"/>
      <c r="K97"/>
      <c r="L97"/>
      <c r="M97"/>
      <c r="N97"/>
      <c r="O97"/>
      <c r="X97"/>
    </row>
    <row r="98" spans="1:24">
      <c r="A98"/>
      <c r="B98"/>
      <c r="C98"/>
      <c r="D98"/>
      <c r="E98"/>
      <c r="F98"/>
      <c r="G98"/>
      <c r="I98"/>
      <c r="J98"/>
      <c r="K98"/>
      <c r="L98"/>
      <c r="M98"/>
      <c r="N98"/>
      <c r="O98"/>
      <c r="X98"/>
    </row>
    <row r="99" spans="1:24">
      <c r="A99"/>
      <c r="B99"/>
      <c r="C99"/>
      <c r="D99"/>
      <c r="E99"/>
      <c r="F99"/>
      <c r="G99"/>
      <c r="I99"/>
      <c r="J99"/>
      <c r="K99"/>
      <c r="L99"/>
      <c r="M99"/>
      <c r="N99"/>
      <c r="O99"/>
      <c r="X99"/>
    </row>
    <row r="100" spans="1:24">
      <c r="A100"/>
      <c r="B100"/>
      <c r="C100"/>
      <c r="D100"/>
      <c r="E100"/>
      <c r="F100"/>
      <c r="G100"/>
      <c r="I100"/>
      <c r="J100"/>
      <c r="K100"/>
      <c r="L100"/>
      <c r="M100"/>
      <c r="N100"/>
      <c r="O100"/>
      <c r="X100"/>
    </row>
    <row r="101" spans="1:24">
      <c r="A101"/>
      <c r="B101"/>
      <c r="C101"/>
      <c r="D101"/>
      <c r="E101"/>
      <c r="F101"/>
      <c r="G101"/>
      <c r="I101"/>
      <c r="J101"/>
      <c r="K101"/>
      <c r="L101"/>
      <c r="M101"/>
      <c r="N101"/>
      <c r="O101"/>
      <c r="X101"/>
    </row>
    <row r="102" spans="1:24">
      <c r="A102"/>
      <c r="B102"/>
      <c r="C102"/>
      <c r="D102"/>
      <c r="E102"/>
      <c r="F102"/>
      <c r="G102"/>
      <c r="I102"/>
      <c r="J102"/>
      <c r="K102"/>
      <c r="L102"/>
      <c r="M102"/>
      <c r="N102"/>
      <c r="O102"/>
      <c r="X102"/>
    </row>
    <row r="103" spans="1:24">
      <c r="A103"/>
      <c r="B103"/>
      <c r="C103"/>
      <c r="D103"/>
      <c r="E103"/>
      <c r="F103"/>
      <c r="G103"/>
      <c r="I103"/>
      <c r="J103"/>
      <c r="K103"/>
      <c r="L103"/>
      <c r="M103"/>
      <c r="N103"/>
      <c r="O103"/>
      <c r="X103"/>
    </row>
    <row r="104" spans="1:24">
      <c r="A104"/>
      <c r="B104"/>
      <c r="C104"/>
      <c r="D104"/>
      <c r="E104"/>
      <c r="F104"/>
      <c r="G104"/>
      <c r="I104"/>
      <c r="J104"/>
      <c r="K104"/>
      <c r="L104"/>
      <c r="M104"/>
      <c r="N104"/>
      <c r="O104"/>
      <c r="X104"/>
    </row>
    <row r="105" spans="1:24">
      <c r="A105"/>
      <c r="B105"/>
      <c r="C105"/>
      <c r="D105"/>
      <c r="E105"/>
      <c r="F105"/>
      <c r="G105"/>
      <c r="I105"/>
      <c r="J105"/>
      <c r="K105"/>
      <c r="L105"/>
      <c r="M105"/>
      <c r="N105"/>
      <c r="O105"/>
      <c r="X105"/>
    </row>
    <row r="106" spans="1:24">
      <c r="A106"/>
      <c r="B106"/>
      <c r="C106"/>
      <c r="D106"/>
      <c r="E106"/>
      <c r="F106"/>
      <c r="G106"/>
      <c r="I106"/>
      <c r="J106"/>
      <c r="K106"/>
      <c r="L106"/>
      <c r="M106"/>
      <c r="N106"/>
      <c r="O106"/>
      <c r="X106"/>
    </row>
    <row r="107" spans="1:24">
      <c r="A107"/>
      <c r="B107"/>
      <c r="C107"/>
      <c r="D107"/>
      <c r="E107"/>
      <c r="F107"/>
      <c r="G107"/>
      <c r="I107"/>
      <c r="J107"/>
      <c r="K107"/>
      <c r="L107"/>
      <c r="M107"/>
      <c r="N107"/>
      <c r="O107"/>
      <c r="X107"/>
    </row>
    <row r="108" spans="1:24">
      <c r="A108"/>
      <c r="B108"/>
      <c r="C108"/>
      <c r="D108"/>
      <c r="E108"/>
      <c r="F108"/>
      <c r="G108"/>
      <c r="I108"/>
      <c r="J108"/>
      <c r="K108"/>
      <c r="L108"/>
      <c r="M108"/>
      <c r="N108"/>
      <c r="O108"/>
      <c r="X108"/>
    </row>
    <row r="109" spans="1:24">
      <c r="A109"/>
      <c r="B109"/>
      <c r="C109"/>
      <c r="D109"/>
      <c r="E109"/>
      <c r="F109"/>
      <c r="G109"/>
      <c r="I109"/>
      <c r="J109"/>
      <c r="K109"/>
      <c r="L109"/>
      <c r="M109"/>
      <c r="N109"/>
      <c r="O109"/>
      <c r="X109"/>
    </row>
    <row r="110" spans="1:24">
      <c r="A110"/>
      <c r="B110"/>
      <c r="C110"/>
      <c r="D110"/>
      <c r="E110"/>
      <c r="F110"/>
      <c r="G110"/>
      <c r="I110"/>
      <c r="J110"/>
      <c r="K110"/>
      <c r="L110"/>
      <c r="M110"/>
      <c r="N110"/>
      <c r="O110"/>
      <c r="X110"/>
    </row>
    <row r="111" spans="1:24">
      <c r="A111"/>
      <c r="B111"/>
      <c r="C111"/>
      <c r="D111"/>
      <c r="E111"/>
      <c r="F111"/>
      <c r="G111"/>
      <c r="I111"/>
      <c r="J111"/>
      <c r="K111"/>
      <c r="L111"/>
      <c r="M111"/>
      <c r="N111"/>
      <c r="O111"/>
      <c r="X111"/>
    </row>
    <row r="112" spans="1:24">
      <c r="A112"/>
      <c r="B112"/>
      <c r="C112"/>
      <c r="D112"/>
      <c r="E112"/>
      <c r="F112"/>
      <c r="G112"/>
      <c r="I112"/>
      <c r="J112"/>
      <c r="K112"/>
      <c r="L112"/>
      <c r="M112"/>
      <c r="N112"/>
      <c r="O112"/>
      <c r="X112"/>
    </row>
    <row r="113" spans="1:24">
      <c r="A113"/>
      <c r="B113"/>
      <c r="C113"/>
      <c r="D113"/>
      <c r="E113"/>
      <c r="F113"/>
      <c r="G113"/>
      <c r="I113"/>
      <c r="J113"/>
      <c r="K113"/>
      <c r="L113"/>
      <c r="M113"/>
      <c r="N113"/>
      <c r="O113"/>
      <c r="X113"/>
    </row>
    <row r="114" spans="1:24">
      <c r="A114"/>
      <c r="B114"/>
      <c r="C114"/>
      <c r="D114"/>
      <c r="E114"/>
      <c r="F114"/>
      <c r="G114"/>
      <c r="I114"/>
      <c r="J114"/>
      <c r="K114"/>
      <c r="L114"/>
      <c r="M114"/>
      <c r="N114"/>
      <c r="O114"/>
      <c r="X114"/>
    </row>
    <row r="115" spans="1:24">
      <c r="A115"/>
      <c r="B115"/>
      <c r="C115"/>
      <c r="D115"/>
      <c r="E115"/>
      <c r="F115"/>
      <c r="G115"/>
      <c r="I115"/>
      <c r="J115"/>
      <c r="K115"/>
      <c r="L115"/>
      <c r="M115"/>
      <c r="N115"/>
      <c r="O115"/>
      <c r="X115"/>
    </row>
    <row r="116" spans="1:24">
      <c r="A116"/>
      <c r="B116"/>
      <c r="C116"/>
      <c r="D116"/>
      <c r="E116"/>
      <c r="F116"/>
      <c r="G116"/>
      <c r="I116"/>
      <c r="J116"/>
      <c r="K116"/>
      <c r="L116"/>
      <c r="M116"/>
      <c r="N116"/>
      <c r="O116"/>
      <c r="X116"/>
    </row>
    <row r="117" spans="1:24">
      <c r="A117"/>
      <c r="B117"/>
      <c r="C117"/>
      <c r="D117"/>
      <c r="E117"/>
      <c r="F117"/>
      <c r="G117"/>
      <c r="I117"/>
      <c r="J117"/>
      <c r="K117"/>
      <c r="L117"/>
      <c r="M117"/>
      <c r="N117"/>
      <c r="O117"/>
      <c r="X117"/>
    </row>
    <row r="118" spans="1:24">
      <c r="A118"/>
      <c r="B118"/>
      <c r="C118"/>
      <c r="D118"/>
      <c r="E118"/>
      <c r="F118"/>
      <c r="G118"/>
      <c r="I118"/>
      <c r="J118"/>
      <c r="K118"/>
      <c r="L118"/>
      <c r="M118"/>
      <c r="N118"/>
      <c r="O118"/>
      <c r="X118"/>
    </row>
    <row r="119" spans="1:24">
      <c r="A119"/>
      <c r="B119"/>
      <c r="C119"/>
      <c r="D119"/>
      <c r="E119"/>
      <c r="F119"/>
      <c r="G119"/>
      <c r="I119"/>
      <c r="J119"/>
      <c r="K119"/>
      <c r="L119"/>
      <c r="M119"/>
      <c r="N119"/>
      <c r="O119"/>
      <c r="X119"/>
    </row>
    <row r="120" spans="1:24">
      <c r="A120"/>
      <c r="B120"/>
      <c r="C120"/>
      <c r="D120"/>
      <c r="E120"/>
      <c r="F120"/>
      <c r="G120"/>
      <c r="I120"/>
      <c r="J120"/>
      <c r="K120"/>
      <c r="L120"/>
      <c r="M120"/>
      <c r="N120"/>
      <c r="O120"/>
      <c r="X120"/>
    </row>
    <row r="121" spans="1:24">
      <c r="A121"/>
      <c r="B121"/>
      <c r="C121"/>
      <c r="D121"/>
      <c r="E121"/>
      <c r="F121"/>
      <c r="G121"/>
      <c r="I121"/>
      <c r="J121"/>
      <c r="K121"/>
      <c r="L121"/>
      <c r="M121"/>
      <c r="N121"/>
      <c r="O121"/>
      <c r="X121"/>
    </row>
    <row r="122" spans="1:24">
      <c r="A122"/>
      <c r="B122"/>
      <c r="C122"/>
      <c r="D122"/>
      <c r="E122"/>
      <c r="F122"/>
      <c r="G122"/>
      <c r="I122"/>
      <c r="J122"/>
      <c r="K122"/>
      <c r="L122"/>
      <c r="M122"/>
      <c r="N122"/>
      <c r="O122"/>
      <c r="X122"/>
    </row>
    <row r="123" spans="1:24">
      <c r="A123"/>
      <c r="B123"/>
      <c r="C123"/>
      <c r="D123"/>
      <c r="E123"/>
      <c r="F123"/>
      <c r="G123"/>
      <c r="I123"/>
      <c r="J123"/>
      <c r="K123"/>
      <c r="L123"/>
      <c r="M123"/>
      <c r="N123"/>
      <c r="O123"/>
      <c r="X123"/>
    </row>
    <row r="124" spans="1:24">
      <c r="A124"/>
      <c r="B124"/>
      <c r="C124"/>
      <c r="D124"/>
      <c r="E124"/>
      <c r="F124"/>
      <c r="G124"/>
      <c r="I124"/>
      <c r="J124"/>
      <c r="K124"/>
      <c r="L124"/>
      <c r="M124"/>
      <c r="N124"/>
      <c r="O124"/>
      <c r="X124"/>
    </row>
    <row r="125" spans="1:24">
      <c r="A125"/>
      <c r="B125"/>
      <c r="C125"/>
      <c r="D125"/>
      <c r="E125"/>
      <c r="F125"/>
      <c r="G125"/>
      <c r="I125"/>
      <c r="J125"/>
      <c r="K125"/>
      <c r="L125"/>
      <c r="M125"/>
      <c r="N125"/>
      <c r="O125"/>
      <c r="X125"/>
    </row>
    <row r="126" spans="1:24">
      <c r="A126"/>
      <c r="B126"/>
      <c r="C126"/>
      <c r="D126"/>
      <c r="E126"/>
      <c r="F126"/>
      <c r="G126"/>
      <c r="I126"/>
      <c r="J126"/>
      <c r="K126"/>
      <c r="L126"/>
      <c r="M126"/>
      <c r="N126"/>
      <c r="O126"/>
      <c r="X126"/>
    </row>
    <row r="127" spans="1:24">
      <c r="A127"/>
      <c r="B127"/>
      <c r="C127"/>
      <c r="D127"/>
      <c r="E127"/>
      <c r="F127"/>
      <c r="G127"/>
      <c r="I127"/>
      <c r="J127"/>
      <c r="K127"/>
      <c r="L127"/>
      <c r="M127"/>
      <c r="N127"/>
      <c r="O127"/>
      <c r="X127"/>
    </row>
    <row r="128" spans="1:24">
      <c r="A128"/>
      <c r="B128"/>
      <c r="C128"/>
      <c r="D128"/>
      <c r="E128"/>
      <c r="F128"/>
      <c r="G128"/>
      <c r="I128"/>
      <c r="J128"/>
      <c r="K128"/>
      <c r="L128"/>
      <c r="M128"/>
      <c r="N128"/>
      <c r="O128"/>
      <c r="X128"/>
    </row>
    <row r="129" spans="1:24">
      <c r="A129"/>
      <c r="B129"/>
      <c r="C129"/>
      <c r="D129"/>
      <c r="E129"/>
      <c r="F129"/>
      <c r="G129"/>
      <c r="I129"/>
      <c r="J129"/>
      <c r="K129"/>
      <c r="L129"/>
      <c r="M129"/>
      <c r="N129"/>
      <c r="O129"/>
      <c r="X129"/>
    </row>
    <row r="130" spans="1:24">
      <c r="A130"/>
      <c r="B130"/>
      <c r="C130"/>
      <c r="D130"/>
      <c r="E130"/>
      <c r="F130"/>
      <c r="G130"/>
      <c r="I130"/>
      <c r="J130"/>
      <c r="K130"/>
      <c r="L130"/>
      <c r="M130"/>
      <c r="N130"/>
      <c r="O130"/>
      <c r="X130"/>
    </row>
    <row r="131" spans="1:24">
      <c r="A131"/>
      <c r="B131"/>
      <c r="C131"/>
      <c r="D131"/>
      <c r="E131"/>
      <c r="F131"/>
      <c r="G131"/>
      <c r="I131"/>
      <c r="J131"/>
      <c r="K131"/>
      <c r="L131"/>
      <c r="M131"/>
      <c r="N131"/>
      <c r="O131"/>
      <c r="X131"/>
    </row>
    <row r="132" spans="1:24">
      <c r="A132"/>
      <c r="B132"/>
      <c r="C132"/>
      <c r="D132"/>
      <c r="E132"/>
      <c r="F132"/>
      <c r="G132"/>
      <c r="I132"/>
      <c r="J132"/>
      <c r="K132"/>
      <c r="L132"/>
      <c r="M132"/>
      <c r="N132"/>
      <c r="O132"/>
      <c r="X132"/>
    </row>
    <row r="133" spans="1:24">
      <c r="A133"/>
      <c r="B133"/>
      <c r="C133"/>
      <c r="D133"/>
      <c r="E133"/>
      <c r="F133"/>
      <c r="G133"/>
      <c r="I133"/>
      <c r="J133"/>
      <c r="K133"/>
      <c r="L133"/>
      <c r="M133"/>
      <c r="N133"/>
      <c r="O133"/>
      <c r="X133"/>
    </row>
    <row r="134" spans="1:24">
      <c r="A134"/>
      <c r="B134"/>
      <c r="C134"/>
      <c r="D134"/>
      <c r="E134"/>
      <c r="F134"/>
      <c r="G134"/>
      <c r="I134"/>
      <c r="J134"/>
      <c r="K134"/>
      <c r="L134"/>
      <c r="M134"/>
      <c r="N134"/>
      <c r="O134"/>
      <c r="X134"/>
    </row>
    <row r="135" spans="1:24">
      <c r="A135"/>
      <c r="B135"/>
      <c r="C135"/>
      <c r="D135"/>
      <c r="E135"/>
      <c r="F135"/>
      <c r="G135"/>
      <c r="I135"/>
      <c r="J135"/>
      <c r="K135"/>
      <c r="L135"/>
      <c r="M135"/>
      <c r="N135"/>
      <c r="O135"/>
      <c r="X135"/>
    </row>
    <row r="136" spans="1:24">
      <c r="A136"/>
      <c r="B136"/>
      <c r="C136"/>
      <c r="D136"/>
      <c r="E136"/>
      <c r="F136"/>
      <c r="G136"/>
      <c r="I136"/>
      <c r="J136"/>
      <c r="K136"/>
      <c r="L136"/>
      <c r="M136"/>
      <c r="N136"/>
      <c r="O136"/>
      <c r="X136"/>
    </row>
    <row r="137" spans="1:24">
      <c r="A137"/>
      <c r="B137"/>
      <c r="C137"/>
      <c r="D137"/>
      <c r="E137"/>
      <c r="F137"/>
      <c r="G137"/>
      <c r="I137"/>
      <c r="J137"/>
      <c r="K137"/>
      <c r="L137"/>
      <c r="M137"/>
      <c r="N137"/>
      <c r="O137"/>
      <c r="X137"/>
    </row>
    <row r="138" spans="1:24">
      <c r="A138"/>
      <c r="B138"/>
      <c r="C138"/>
      <c r="D138"/>
      <c r="E138"/>
      <c r="F138"/>
      <c r="G138"/>
      <c r="I138"/>
      <c r="J138"/>
      <c r="K138"/>
      <c r="L138"/>
      <c r="M138"/>
      <c r="N138"/>
      <c r="O138"/>
      <c r="X138"/>
    </row>
    <row r="139" spans="1:24">
      <c r="A139"/>
      <c r="B139"/>
      <c r="C139"/>
      <c r="D139"/>
      <c r="E139"/>
      <c r="F139"/>
      <c r="G139"/>
      <c r="I139"/>
      <c r="J139"/>
      <c r="K139"/>
      <c r="L139"/>
      <c r="M139"/>
      <c r="N139"/>
      <c r="O139"/>
      <c r="X139"/>
    </row>
    <row r="140" spans="1:24">
      <c r="A140"/>
      <c r="B140"/>
      <c r="C140"/>
      <c r="D140"/>
      <c r="E140"/>
      <c r="F140"/>
      <c r="G140"/>
      <c r="I140"/>
      <c r="J140"/>
      <c r="K140"/>
      <c r="L140"/>
      <c r="M140"/>
      <c r="N140"/>
      <c r="O140"/>
      <c r="X140"/>
    </row>
    <row r="141" spans="1:24">
      <c r="A141"/>
      <c r="B141"/>
      <c r="C141"/>
      <c r="D141"/>
      <c r="E141"/>
      <c r="F141"/>
      <c r="G141"/>
      <c r="I141"/>
      <c r="J141"/>
      <c r="K141"/>
      <c r="L141"/>
      <c r="M141"/>
      <c r="N141"/>
      <c r="O141"/>
      <c r="X141"/>
    </row>
    <row r="142" spans="1:24">
      <c r="A142"/>
      <c r="B142"/>
      <c r="C142"/>
      <c r="D142"/>
      <c r="E142"/>
      <c r="F142"/>
      <c r="G142"/>
      <c r="I142"/>
      <c r="J142"/>
      <c r="K142"/>
      <c r="L142"/>
      <c r="M142"/>
      <c r="N142"/>
      <c r="O142"/>
      <c r="X142"/>
    </row>
    <row r="143" spans="1:24">
      <c r="A143"/>
      <c r="B143"/>
      <c r="C143"/>
      <c r="D143"/>
      <c r="E143"/>
      <c r="F143"/>
      <c r="G143"/>
      <c r="I143"/>
      <c r="J143"/>
      <c r="K143"/>
      <c r="L143"/>
      <c r="M143"/>
      <c r="N143"/>
      <c r="O143"/>
      <c r="X143"/>
    </row>
    <row r="144" spans="1:24">
      <c r="A144"/>
      <c r="B144"/>
      <c r="C144"/>
      <c r="D144"/>
      <c r="E144"/>
      <c r="F144"/>
      <c r="G144"/>
      <c r="I144"/>
      <c r="J144"/>
      <c r="K144"/>
      <c r="L144"/>
      <c r="M144"/>
      <c r="N144"/>
      <c r="O144"/>
      <c r="X144"/>
    </row>
    <row r="145" spans="1:24">
      <c r="A145"/>
      <c r="B145"/>
      <c r="C145"/>
      <c r="D145"/>
      <c r="E145"/>
      <c r="F145"/>
      <c r="G145"/>
      <c r="I145"/>
      <c r="J145"/>
      <c r="K145"/>
      <c r="L145"/>
      <c r="M145"/>
      <c r="N145"/>
      <c r="O145"/>
      <c r="X145"/>
    </row>
    <row r="146" spans="1:24">
      <c r="A146"/>
      <c r="B146"/>
      <c r="C146"/>
      <c r="D146"/>
      <c r="E146"/>
      <c r="F146"/>
      <c r="G146"/>
      <c r="I146"/>
      <c r="J146"/>
      <c r="K146"/>
      <c r="L146"/>
      <c r="M146"/>
      <c r="N146"/>
      <c r="O146"/>
      <c r="X146"/>
    </row>
    <row r="147" spans="1:24">
      <c r="A147"/>
      <c r="B147"/>
      <c r="C147"/>
      <c r="D147"/>
      <c r="E147"/>
      <c r="F147"/>
      <c r="G147"/>
      <c r="I147"/>
      <c r="J147"/>
      <c r="K147"/>
      <c r="L147"/>
      <c r="M147"/>
      <c r="N147"/>
      <c r="O147"/>
      <c r="X147"/>
    </row>
    <row r="148" spans="1:24">
      <c r="A148"/>
      <c r="B148"/>
      <c r="C148"/>
      <c r="D148"/>
      <c r="E148"/>
      <c r="F148"/>
      <c r="G148"/>
      <c r="I148"/>
      <c r="J148"/>
      <c r="K148"/>
      <c r="L148"/>
      <c r="M148"/>
      <c r="N148"/>
      <c r="O148"/>
      <c r="X148"/>
    </row>
    <row r="149" spans="1:24">
      <c r="A149"/>
      <c r="B149"/>
      <c r="C149"/>
      <c r="D149"/>
      <c r="E149"/>
      <c r="F149"/>
      <c r="G149"/>
      <c r="I149"/>
      <c r="J149"/>
      <c r="K149"/>
      <c r="L149"/>
      <c r="M149"/>
      <c r="N149"/>
      <c r="O149"/>
      <c r="X149"/>
    </row>
    <row r="150" spans="1:24">
      <c r="A150"/>
      <c r="B150"/>
      <c r="C150"/>
      <c r="D150"/>
      <c r="E150"/>
      <c r="F150"/>
      <c r="G150"/>
      <c r="I150"/>
      <c r="J150"/>
      <c r="K150"/>
      <c r="L150"/>
      <c r="M150"/>
      <c r="N150"/>
      <c r="O150"/>
      <c r="X150"/>
    </row>
    <row r="151" spans="1:24">
      <c r="A151"/>
      <c r="B151"/>
      <c r="C151"/>
      <c r="D151"/>
      <c r="E151"/>
      <c r="F151"/>
      <c r="G151"/>
      <c r="I151"/>
      <c r="J151"/>
      <c r="K151"/>
      <c r="L151"/>
      <c r="M151"/>
      <c r="N151"/>
      <c r="O151"/>
      <c r="X151"/>
    </row>
    <row r="152" spans="1:24">
      <c r="A152"/>
      <c r="B152"/>
      <c r="C152"/>
      <c r="D152"/>
      <c r="E152"/>
      <c r="F152"/>
      <c r="G152"/>
      <c r="I152"/>
      <c r="J152"/>
      <c r="K152"/>
      <c r="L152"/>
      <c r="M152"/>
      <c r="N152"/>
      <c r="O152"/>
      <c r="X152"/>
    </row>
    <row r="153" spans="1:24">
      <c r="A153"/>
      <c r="B153"/>
      <c r="C153"/>
      <c r="D153"/>
      <c r="E153"/>
      <c r="F153"/>
      <c r="G153"/>
      <c r="I153"/>
      <c r="J153"/>
      <c r="K153"/>
      <c r="L153"/>
      <c r="M153"/>
      <c r="N153"/>
      <c r="O153"/>
      <c r="X153"/>
    </row>
    <row r="154" spans="1:24">
      <c r="A154"/>
      <c r="B154"/>
      <c r="C154"/>
      <c r="D154"/>
      <c r="E154"/>
      <c r="F154"/>
      <c r="G154"/>
      <c r="I154"/>
      <c r="J154"/>
      <c r="K154"/>
      <c r="L154"/>
      <c r="M154"/>
      <c r="N154"/>
      <c r="O154"/>
      <c r="X154"/>
    </row>
    <row r="155" spans="1:24">
      <c r="A155"/>
      <c r="B155"/>
      <c r="C155"/>
      <c r="D155"/>
      <c r="E155"/>
      <c r="F155"/>
      <c r="G155"/>
      <c r="I155"/>
      <c r="J155"/>
      <c r="K155"/>
      <c r="L155"/>
      <c r="M155"/>
      <c r="N155"/>
      <c r="O155"/>
      <c r="X155"/>
    </row>
    <row r="156" spans="1:24">
      <c r="A156"/>
      <c r="B156"/>
      <c r="C156"/>
      <c r="D156"/>
      <c r="E156"/>
      <c r="F156"/>
      <c r="G156"/>
      <c r="I156"/>
      <c r="J156"/>
      <c r="K156"/>
      <c r="L156"/>
      <c r="M156"/>
      <c r="N156"/>
      <c r="O156"/>
      <c r="X156"/>
    </row>
    <row r="157" spans="1:24">
      <c r="A157"/>
      <c r="B157"/>
      <c r="C157"/>
      <c r="D157"/>
      <c r="E157"/>
      <c r="F157"/>
      <c r="G157"/>
      <c r="I157"/>
      <c r="J157"/>
      <c r="K157"/>
      <c r="L157"/>
      <c r="M157"/>
      <c r="N157"/>
      <c r="O157"/>
      <c r="X157"/>
    </row>
    <row r="158" spans="1:24">
      <c r="A158"/>
      <c r="B158"/>
      <c r="C158"/>
      <c r="D158"/>
      <c r="E158"/>
      <c r="F158"/>
      <c r="G158"/>
      <c r="I158"/>
      <c r="J158"/>
      <c r="K158"/>
      <c r="L158"/>
      <c r="M158"/>
      <c r="N158"/>
      <c r="O158"/>
      <c r="X158"/>
    </row>
    <row r="159" spans="1:24">
      <c r="A159"/>
      <c r="B159"/>
      <c r="C159"/>
      <c r="D159"/>
      <c r="E159"/>
      <c r="F159"/>
      <c r="G159"/>
      <c r="I159"/>
      <c r="J159"/>
      <c r="K159"/>
      <c r="L159"/>
      <c r="M159"/>
      <c r="N159"/>
      <c r="O159"/>
      <c r="X159"/>
    </row>
    <row r="160" spans="1:24">
      <c r="A160"/>
      <c r="B160"/>
      <c r="C160"/>
      <c r="D160"/>
      <c r="E160"/>
      <c r="F160"/>
      <c r="G160"/>
      <c r="I160"/>
      <c r="J160"/>
      <c r="K160"/>
      <c r="L160"/>
      <c r="M160"/>
      <c r="N160"/>
      <c r="O160"/>
      <c r="X160"/>
    </row>
    <row r="161" spans="1:24">
      <c r="A161"/>
      <c r="B161"/>
      <c r="C161"/>
      <c r="D161"/>
      <c r="E161"/>
      <c r="F161"/>
      <c r="G161"/>
      <c r="I161"/>
      <c r="J161"/>
      <c r="K161"/>
      <c r="L161"/>
      <c r="M161"/>
      <c r="N161"/>
      <c r="O161"/>
      <c r="X161"/>
    </row>
    <row r="162" spans="1:24">
      <c r="A162"/>
      <c r="B162"/>
      <c r="C162"/>
      <c r="D162"/>
      <c r="E162"/>
      <c r="F162"/>
      <c r="G162"/>
      <c r="I162"/>
      <c r="J162"/>
      <c r="K162"/>
      <c r="L162"/>
      <c r="M162"/>
      <c r="N162"/>
      <c r="O162"/>
      <c r="X162"/>
    </row>
    <row r="163" spans="1:24">
      <c r="A163"/>
      <c r="B163"/>
      <c r="C163"/>
      <c r="D163"/>
      <c r="E163"/>
      <c r="F163"/>
      <c r="G163"/>
      <c r="I163"/>
      <c r="J163"/>
      <c r="K163"/>
      <c r="L163"/>
      <c r="M163"/>
      <c r="N163"/>
      <c r="O163"/>
      <c r="X163"/>
    </row>
    <row r="164" spans="1:24">
      <c r="A164"/>
      <c r="B164"/>
      <c r="C164"/>
      <c r="D164"/>
      <c r="E164"/>
      <c r="F164"/>
      <c r="G164"/>
      <c r="I164"/>
      <c r="J164"/>
      <c r="K164"/>
      <c r="L164"/>
      <c r="M164"/>
      <c r="N164"/>
      <c r="O164"/>
      <c r="X164"/>
    </row>
    <row r="165" spans="1:24">
      <c r="A165"/>
      <c r="B165"/>
      <c r="C165"/>
      <c r="D165"/>
      <c r="E165"/>
      <c r="F165"/>
      <c r="G165"/>
      <c r="I165"/>
      <c r="J165"/>
      <c r="K165"/>
      <c r="L165"/>
      <c r="M165"/>
      <c r="N165"/>
      <c r="O165"/>
      <c r="X165"/>
    </row>
    <row r="166" spans="1:24">
      <c r="A166"/>
      <c r="B166"/>
      <c r="C166"/>
      <c r="D166"/>
      <c r="E166"/>
      <c r="F166"/>
      <c r="G166"/>
      <c r="I166"/>
      <c r="J166"/>
      <c r="K166"/>
      <c r="L166"/>
      <c r="M166"/>
      <c r="N166"/>
      <c r="O166"/>
      <c r="X166"/>
    </row>
    <row r="167" spans="1:24">
      <c r="A167"/>
      <c r="B167"/>
      <c r="C167"/>
      <c r="D167"/>
      <c r="E167"/>
      <c r="F167"/>
      <c r="G167"/>
      <c r="I167"/>
      <c r="J167"/>
      <c r="K167"/>
      <c r="L167"/>
      <c r="M167"/>
      <c r="N167"/>
      <c r="O167"/>
      <c r="X167"/>
    </row>
    <row r="168" spans="1:24">
      <c r="A168"/>
      <c r="B168"/>
      <c r="C168"/>
      <c r="D168"/>
      <c r="E168"/>
      <c r="F168"/>
      <c r="G168"/>
      <c r="I168"/>
      <c r="J168"/>
      <c r="K168"/>
      <c r="L168"/>
      <c r="M168"/>
      <c r="N168"/>
      <c r="O168"/>
      <c r="X168"/>
    </row>
    <row r="169" spans="1:24">
      <c r="A169"/>
      <c r="B169"/>
      <c r="C169"/>
      <c r="D169"/>
      <c r="E169"/>
      <c r="F169"/>
      <c r="G169"/>
      <c r="I169"/>
      <c r="J169"/>
      <c r="K169"/>
      <c r="L169"/>
      <c r="M169"/>
      <c r="N169"/>
      <c r="O169"/>
      <c r="X169"/>
    </row>
    <row r="170" spans="1:24">
      <c r="A170"/>
      <c r="B170"/>
      <c r="C170"/>
      <c r="D170"/>
      <c r="E170"/>
      <c r="F170"/>
      <c r="G170"/>
      <c r="I170"/>
      <c r="J170"/>
      <c r="K170"/>
      <c r="L170"/>
      <c r="M170"/>
      <c r="N170"/>
      <c r="O170"/>
      <c r="X170"/>
    </row>
    <row r="171" spans="1:24">
      <c r="A171"/>
      <c r="B171"/>
      <c r="C171"/>
      <c r="D171"/>
      <c r="E171"/>
      <c r="F171"/>
      <c r="G171"/>
      <c r="I171"/>
      <c r="J171"/>
      <c r="K171"/>
      <c r="L171"/>
      <c r="M171"/>
      <c r="N171"/>
      <c r="O171"/>
      <c r="X171"/>
    </row>
    <row r="172" spans="1:24">
      <c r="A172"/>
      <c r="B172"/>
      <c r="C172"/>
      <c r="D172"/>
      <c r="E172"/>
      <c r="F172"/>
      <c r="G172"/>
      <c r="I172"/>
      <c r="J172"/>
      <c r="K172"/>
      <c r="L172"/>
      <c r="M172"/>
      <c r="N172"/>
      <c r="O172"/>
      <c r="X172"/>
    </row>
    <row r="173" spans="1:24">
      <c r="A173"/>
      <c r="B173"/>
      <c r="C173"/>
      <c r="D173"/>
      <c r="E173"/>
      <c r="F173"/>
      <c r="G173"/>
      <c r="I173"/>
      <c r="J173"/>
      <c r="K173"/>
      <c r="L173"/>
      <c r="M173"/>
      <c r="N173"/>
      <c r="O173"/>
      <c r="X173"/>
    </row>
    <row r="174" spans="1:24">
      <c r="A174"/>
      <c r="B174"/>
      <c r="C174"/>
      <c r="D174"/>
      <c r="E174"/>
      <c r="F174"/>
      <c r="G174"/>
      <c r="I174"/>
      <c r="J174"/>
      <c r="K174"/>
      <c r="L174"/>
      <c r="M174"/>
      <c r="N174"/>
      <c r="O174"/>
      <c r="X174"/>
    </row>
    <row r="175" spans="1:24">
      <c r="A175"/>
      <c r="B175"/>
      <c r="C175"/>
      <c r="D175"/>
      <c r="E175"/>
      <c r="F175"/>
      <c r="G175"/>
      <c r="I175"/>
      <c r="J175"/>
      <c r="K175"/>
      <c r="L175"/>
      <c r="M175"/>
      <c r="N175"/>
      <c r="O175"/>
      <c r="X175"/>
    </row>
    <row r="176" spans="1:24">
      <c r="A176"/>
      <c r="B176"/>
      <c r="C176"/>
      <c r="D176"/>
      <c r="E176"/>
      <c r="F176"/>
      <c r="G176"/>
      <c r="I176"/>
      <c r="J176"/>
      <c r="K176"/>
      <c r="L176"/>
      <c r="M176"/>
      <c r="N176"/>
      <c r="O176"/>
      <c r="X176"/>
    </row>
    <row r="177" spans="1:24">
      <c r="A177"/>
      <c r="B177"/>
      <c r="C177"/>
      <c r="D177"/>
      <c r="E177"/>
      <c r="F177"/>
      <c r="G177"/>
      <c r="I177"/>
      <c r="J177"/>
      <c r="K177"/>
      <c r="L177"/>
      <c r="M177"/>
      <c r="N177"/>
      <c r="O177"/>
      <c r="X177"/>
    </row>
    <row r="178" spans="1:24">
      <c r="A178"/>
      <c r="B178"/>
      <c r="C178"/>
      <c r="D178"/>
      <c r="E178"/>
      <c r="F178"/>
      <c r="G178"/>
      <c r="I178"/>
      <c r="J178"/>
      <c r="K178"/>
      <c r="L178"/>
      <c r="M178"/>
      <c r="N178"/>
      <c r="O178"/>
      <c r="X178"/>
    </row>
    <row r="179" spans="1:24">
      <c r="A179"/>
      <c r="B179"/>
      <c r="C179"/>
      <c r="D179"/>
      <c r="E179"/>
      <c r="F179"/>
      <c r="G179"/>
      <c r="I179"/>
      <c r="J179"/>
      <c r="K179"/>
      <c r="L179"/>
      <c r="M179"/>
      <c r="N179"/>
      <c r="O179"/>
      <c r="X179"/>
    </row>
    <row r="180" spans="1:24">
      <c r="A180"/>
      <c r="B180"/>
      <c r="C180"/>
      <c r="D180"/>
      <c r="E180"/>
      <c r="F180"/>
      <c r="G180"/>
      <c r="I180"/>
      <c r="J180"/>
      <c r="K180"/>
      <c r="L180"/>
      <c r="M180"/>
      <c r="N180"/>
      <c r="O180"/>
      <c r="X180"/>
    </row>
    <row r="181" spans="1:24">
      <c r="A181"/>
      <c r="B181"/>
      <c r="C181"/>
      <c r="D181"/>
      <c r="E181"/>
      <c r="F181"/>
      <c r="G181"/>
      <c r="I181"/>
      <c r="J181"/>
      <c r="K181"/>
      <c r="L181"/>
      <c r="M181"/>
      <c r="N181"/>
      <c r="O181"/>
      <c r="X181"/>
    </row>
    <row r="182" spans="1:24">
      <c r="A182"/>
      <c r="B182"/>
      <c r="C182"/>
      <c r="D182"/>
      <c r="E182"/>
      <c r="F182"/>
      <c r="G182"/>
      <c r="I182"/>
      <c r="J182"/>
      <c r="K182"/>
      <c r="L182"/>
      <c r="M182"/>
      <c r="N182"/>
      <c r="O182"/>
      <c r="X182"/>
    </row>
    <row r="183" spans="1:24">
      <c r="A183"/>
      <c r="B183"/>
      <c r="C183"/>
      <c r="D183"/>
      <c r="E183"/>
      <c r="F183"/>
      <c r="G183"/>
      <c r="I183"/>
      <c r="J183"/>
      <c r="K183"/>
      <c r="L183"/>
      <c r="M183"/>
      <c r="N183"/>
      <c r="O183"/>
      <c r="X183"/>
    </row>
    <row r="184" spans="1:24">
      <c r="A184"/>
      <c r="B184"/>
      <c r="C184"/>
      <c r="D184"/>
      <c r="E184"/>
      <c r="F184"/>
      <c r="G184"/>
      <c r="I184"/>
      <c r="J184"/>
      <c r="K184"/>
      <c r="L184"/>
      <c r="M184"/>
      <c r="N184"/>
      <c r="O184"/>
      <c r="X184"/>
    </row>
    <row r="185" spans="1:24">
      <c r="A185"/>
      <c r="B185"/>
      <c r="C185"/>
      <c r="D185"/>
      <c r="E185"/>
      <c r="F185"/>
      <c r="G185"/>
      <c r="I185"/>
      <c r="J185"/>
      <c r="K185"/>
      <c r="L185"/>
      <c r="M185"/>
      <c r="N185"/>
      <c r="O185"/>
      <c r="X185"/>
    </row>
    <row r="186" spans="1:24">
      <c r="A186"/>
      <c r="B186"/>
      <c r="C186"/>
      <c r="D186"/>
      <c r="E186"/>
      <c r="F186"/>
      <c r="G186"/>
      <c r="I186"/>
      <c r="J186"/>
      <c r="K186"/>
      <c r="L186"/>
      <c r="M186"/>
      <c r="N186"/>
      <c r="O186"/>
      <c r="X186"/>
    </row>
    <row r="187" spans="1:24">
      <c r="A187"/>
      <c r="B187"/>
      <c r="C187"/>
      <c r="D187"/>
      <c r="E187"/>
      <c r="F187"/>
      <c r="G187"/>
      <c r="I187"/>
      <c r="J187"/>
      <c r="K187"/>
      <c r="L187"/>
      <c r="M187"/>
      <c r="N187"/>
      <c r="O187"/>
      <c r="X187"/>
    </row>
    <row r="188" spans="1:24">
      <c r="A188"/>
      <c r="B188"/>
      <c r="C188"/>
      <c r="D188"/>
      <c r="E188"/>
      <c r="F188"/>
      <c r="G188"/>
      <c r="I188"/>
      <c r="J188"/>
      <c r="K188"/>
      <c r="L188"/>
      <c r="M188"/>
      <c r="N188"/>
      <c r="O188"/>
      <c r="X188"/>
    </row>
    <row r="189" spans="1:24">
      <c r="A189"/>
      <c r="B189"/>
      <c r="C189"/>
      <c r="D189"/>
      <c r="E189"/>
      <c r="F189"/>
      <c r="G189"/>
      <c r="I189"/>
      <c r="J189"/>
      <c r="K189"/>
      <c r="L189"/>
      <c r="M189"/>
      <c r="N189"/>
      <c r="O189"/>
      <c r="X189"/>
    </row>
    <row r="190" spans="1:24">
      <c r="A190"/>
      <c r="B190"/>
      <c r="C190"/>
      <c r="D190"/>
      <c r="E190"/>
      <c r="F190"/>
      <c r="G190"/>
      <c r="I190"/>
      <c r="J190"/>
      <c r="K190"/>
      <c r="L190"/>
      <c r="M190"/>
      <c r="N190"/>
      <c r="O190"/>
      <c r="X190"/>
    </row>
    <row r="191" spans="1:24">
      <c r="A191"/>
      <c r="B191"/>
      <c r="C191"/>
      <c r="D191"/>
      <c r="E191"/>
      <c r="F191"/>
      <c r="G191"/>
      <c r="I191"/>
      <c r="J191"/>
      <c r="K191"/>
      <c r="L191"/>
      <c r="M191"/>
      <c r="N191"/>
      <c r="O191"/>
      <c r="X191"/>
    </row>
    <row r="192" spans="1:24">
      <c r="A192"/>
      <c r="B192"/>
      <c r="C192"/>
      <c r="D192"/>
      <c r="E192"/>
      <c r="F192"/>
      <c r="G192"/>
      <c r="I192"/>
      <c r="J192"/>
      <c r="K192"/>
      <c r="L192"/>
      <c r="M192"/>
      <c r="N192"/>
      <c r="O192"/>
      <c r="X192"/>
    </row>
    <row r="193" spans="1:24">
      <c r="A193"/>
      <c r="B193"/>
      <c r="C193"/>
      <c r="D193"/>
      <c r="E193"/>
      <c r="F193"/>
      <c r="G193"/>
      <c r="I193"/>
      <c r="J193"/>
      <c r="K193"/>
      <c r="L193"/>
      <c r="M193"/>
      <c r="N193"/>
      <c r="O193"/>
      <c r="X193"/>
    </row>
    <row r="194" spans="1:24">
      <c r="A194"/>
      <c r="B194"/>
      <c r="C194"/>
      <c r="D194"/>
      <c r="E194"/>
      <c r="F194"/>
      <c r="G194"/>
      <c r="I194"/>
      <c r="J194"/>
      <c r="K194"/>
      <c r="L194"/>
      <c r="M194"/>
      <c r="N194"/>
      <c r="O194"/>
      <c r="X194"/>
    </row>
    <row r="195" spans="1:24">
      <c r="A195"/>
      <c r="B195"/>
      <c r="C195"/>
      <c r="D195"/>
      <c r="E195"/>
      <c r="F195"/>
      <c r="G195"/>
      <c r="I195"/>
      <c r="J195"/>
      <c r="K195"/>
      <c r="L195"/>
      <c r="M195"/>
      <c r="N195"/>
      <c r="O195"/>
      <c r="X195"/>
    </row>
    <row r="196" spans="1:24">
      <c r="A196"/>
      <c r="B196"/>
      <c r="C196"/>
      <c r="D196"/>
      <c r="E196"/>
      <c r="F196"/>
      <c r="G196"/>
      <c r="I196"/>
      <c r="J196"/>
      <c r="K196"/>
      <c r="L196"/>
      <c r="M196"/>
      <c r="N196"/>
      <c r="O196"/>
      <c r="X196"/>
    </row>
    <row r="197" spans="1:24">
      <c r="A197"/>
      <c r="B197"/>
      <c r="C197"/>
      <c r="D197"/>
      <c r="E197"/>
      <c r="F197"/>
      <c r="G197"/>
      <c r="I197"/>
      <c r="J197"/>
      <c r="K197"/>
      <c r="L197"/>
      <c r="M197"/>
      <c r="N197"/>
      <c r="O197"/>
      <c r="X197"/>
    </row>
    <row r="198" spans="1:24">
      <c r="A198"/>
      <c r="B198"/>
      <c r="C198"/>
      <c r="D198"/>
      <c r="E198"/>
      <c r="F198"/>
      <c r="G198"/>
      <c r="I198"/>
      <c r="J198"/>
      <c r="K198"/>
      <c r="L198"/>
      <c r="M198"/>
      <c r="N198"/>
      <c r="O198"/>
      <c r="X198"/>
    </row>
    <row r="199" spans="1:24">
      <c r="A199"/>
      <c r="B199"/>
      <c r="C199"/>
      <c r="D199"/>
      <c r="E199"/>
      <c r="F199"/>
      <c r="G199"/>
      <c r="I199"/>
      <c r="J199"/>
      <c r="K199"/>
      <c r="L199"/>
      <c r="M199"/>
      <c r="N199"/>
      <c r="O199"/>
      <c r="X199"/>
    </row>
    <row r="200" spans="1:24">
      <c r="A200"/>
      <c r="B200"/>
      <c r="C200"/>
      <c r="D200"/>
      <c r="E200"/>
      <c r="F200"/>
      <c r="G200"/>
      <c r="I200"/>
      <c r="J200"/>
      <c r="K200"/>
      <c r="L200"/>
      <c r="M200"/>
      <c r="N200"/>
      <c r="O200"/>
      <c r="X200"/>
    </row>
    <row r="201" spans="1:24">
      <c r="A201"/>
      <c r="B201"/>
      <c r="C201"/>
      <c r="D201"/>
      <c r="E201"/>
      <c r="F201"/>
      <c r="G201"/>
      <c r="I201"/>
      <c r="J201"/>
      <c r="K201"/>
      <c r="L201"/>
      <c r="M201"/>
      <c r="N201"/>
      <c r="O201"/>
      <c r="X201"/>
    </row>
    <row r="202" spans="1:24">
      <c r="A202"/>
      <c r="B202"/>
      <c r="C202"/>
      <c r="D202"/>
      <c r="E202"/>
      <c r="F202"/>
      <c r="G202"/>
      <c r="I202"/>
      <c r="J202"/>
      <c r="K202"/>
      <c r="L202"/>
      <c r="M202"/>
      <c r="N202"/>
      <c r="O202"/>
      <c r="X202"/>
    </row>
    <row r="203" spans="1:24">
      <c r="A203"/>
      <c r="B203"/>
      <c r="C203"/>
      <c r="D203"/>
      <c r="E203"/>
      <c r="F203"/>
      <c r="G203"/>
      <c r="I203"/>
      <c r="J203"/>
      <c r="K203"/>
      <c r="L203"/>
      <c r="M203"/>
      <c r="N203"/>
      <c r="O203"/>
      <c r="X203"/>
    </row>
    <row r="204" spans="1:24">
      <c r="A204"/>
      <c r="B204"/>
      <c r="C204"/>
      <c r="D204"/>
      <c r="E204"/>
      <c r="F204"/>
      <c r="G204"/>
      <c r="I204"/>
      <c r="J204"/>
      <c r="K204"/>
      <c r="L204"/>
      <c r="M204"/>
      <c r="N204"/>
      <c r="O204"/>
      <c r="X204"/>
    </row>
    <row r="205" spans="1:24">
      <c r="A205"/>
      <c r="B205"/>
      <c r="C205"/>
      <c r="D205"/>
      <c r="E205"/>
      <c r="F205"/>
      <c r="G205"/>
      <c r="I205"/>
      <c r="J205"/>
      <c r="K205"/>
      <c r="L205"/>
      <c r="M205"/>
      <c r="N205"/>
      <c r="O205"/>
      <c r="X205"/>
    </row>
    <row r="206" spans="1:24">
      <c r="A206"/>
      <c r="B206"/>
      <c r="C206"/>
      <c r="D206"/>
      <c r="E206"/>
      <c r="F206"/>
      <c r="G206"/>
      <c r="I206"/>
      <c r="J206"/>
      <c r="K206"/>
      <c r="L206"/>
      <c r="M206"/>
      <c r="N206"/>
      <c r="O206"/>
      <c r="X206"/>
    </row>
    <row r="207" spans="1:24">
      <c r="A207"/>
      <c r="B207"/>
      <c r="C207"/>
      <c r="D207"/>
      <c r="E207"/>
      <c r="F207"/>
      <c r="G207"/>
      <c r="I207"/>
      <c r="J207"/>
      <c r="K207"/>
      <c r="L207"/>
      <c r="M207"/>
      <c r="N207"/>
      <c r="O207"/>
      <c r="X207"/>
    </row>
    <row r="208" spans="1:24">
      <c r="A208"/>
      <c r="B208"/>
      <c r="C208"/>
      <c r="D208"/>
      <c r="E208"/>
      <c r="F208"/>
      <c r="G208"/>
      <c r="I208"/>
      <c r="J208"/>
      <c r="K208"/>
      <c r="L208"/>
      <c r="M208"/>
      <c r="N208"/>
      <c r="O208"/>
      <c r="X208"/>
    </row>
    <row r="209" spans="1:24">
      <c r="A209"/>
      <c r="B209"/>
      <c r="C209"/>
      <c r="D209"/>
      <c r="E209"/>
      <c r="F209"/>
      <c r="G209"/>
      <c r="I209"/>
      <c r="J209"/>
      <c r="K209"/>
      <c r="L209"/>
      <c r="M209"/>
      <c r="N209"/>
      <c r="O209"/>
      <c r="X209"/>
    </row>
    <row r="210" spans="1:24">
      <c r="A210"/>
      <c r="B210"/>
      <c r="C210"/>
      <c r="D210"/>
      <c r="E210"/>
      <c r="F210"/>
      <c r="G210"/>
      <c r="I210"/>
      <c r="J210"/>
      <c r="K210"/>
      <c r="L210"/>
      <c r="M210"/>
      <c r="N210"/>
      <c r="O210"/>
      <c r="X210"/>
    </row>
    <row r="211" spans="1:24">
      <c r="A211"/>
      <c r="B211"/>
      <c r="C211"/>
      <c r="D211"/>
      <c r="E211"/>
      <c r="F211"/>
      <c r="G211"/>
      <c r="I211"/>
      <c r="J211"/>
      <c r="K211"/>
      <c r="L211"/>
      <c r="M211"/>
      <c r="N211"/>
      <c r="O211"/>
      <c r="X211"/>
    </row>
    <row r="212" spans="1:24">
      <c r="A212"/>
      <c r="B212"/>
      <c r="C212"/>
      <c r="D212"/>
      <c r="E212"/>
      <c r="F212"/>
      <c r="G212"/>
      <c r="I212"/>
      <c r="J212"/>
      <c r="K212"/>
      <c r="L212"/>
      <c r="M212"/>
      <c r="N212"/>
      <c r="O212"/>
      <c r="X212"/>
    </row>
    <row r="213" spans="1:24">
      <c r="A213"/>
      <c r="B213"/>
      <c r="C213"/>
      <c r="D213"/>
      <c r="E213"/>
      <c r="F213"/>
      <c r="G213"/>
      <c r="I213"/>
      <c r="J213"/>
      <c r="K213"/>
      <c r="L213"/>
      <c r="M213"/>
      <c r="N213"/>
      <c r="O213"/>
      <c r="X213"/>
    </row>
    <row r="214" spans="1:24">
      <c r="A214"/>
      <c r="B214"/>
      <c r="C214"/>
      <c r="D214"/>
      <c r="E214"/>
      <c r="F214"/>
      <c r="G214"/>
      <c r="I214"/>
      <c r="J214"/>
      <c r="K214"/>
      <c r="L214"/>
      <c r="M214"/>
      <c r="N214"/>
      <c r="O214"/>
      <c r="X214"/>
    </row>
    <row r="215" spans="1:24">
      <c r="A215"/>
      <c r="B215"/>
      <c r="C215"/>
      <c r="D215"/>
      <c r="E215"/>
      <c r="F215"/>
      <c r="G215"/>
      <c r="I215"/>
      <c r="J215"/>
      <c r="K215"/>
      <c r="L215"/>
      <c r="M215"/>
      <c r="N215"/>
      <c r="O215"/>
      <c r="X215"/>
    </row>
    <row r="216" spans="1:24">
      <c r="A216"/>
      <c r="B216"/>
      <c r="C216"/>
      <c r="D216"/>
      <c r="E216"/>
      <c r="F216"/>
      <c r="G216"/>
      <c r="I216"/>
      <c r="J216"/>
      <c r="K216"/>
      <c r="L216"/>
      <c r="M216"/>
      <c r="N216"/>
      <c r="O216"/>
      <c r="X216"/>
    </row>
    <row r="217" spans="1:24">
      <c r="A217"/>
      <c r="B217"/>
      <c r="C217"/>
      <c r="D217"/>
      <c r="E217"/>
      <c r="F217"/>
      <c r="G217"/>
      <c r="I217"/>
      <c r="J217"/>
      <c r="K217"/>
      <c r="L217"/>
      <c r="M217"/>
      <c r="N217"/>
      <c r="O217"/>
      <c r="X217"/>
    </row>
    <row r="218" spans="1:24">
      <c r="A218"/>
      <c r="B218"/>
      <c r="C218"/>
      <c r="D218"/>
      <c r="E218"/>
      <c r="F218"/>
      <c r="G218"/>
      <c r="I218"/>
      <c r="J218"/>
      <c r="K218"/>
      <c r="L218"/>
      <c r="M218"/>
      <c r="N218"/>
      <c r="O218"/>
      <c r="X218"/>
    </row>
    <row r="219" spans="1:24">
      <c r="A219"/>
      <c r="B219"/>
      <c r="C219"/>
      <c r="D219"/>
      <c r="E219"/>
      <c r="F219"/>
      <c r="G219"/>
      <c r="I219"/>
      <c r="J219"/>
      <c r="K219"/>
      <c r="L219"/>
      <c r="M219"/>
      <c r="N219"/>
      <c r="O219"/>
      <c r="X219"/>
    </row>
    <row r="220" spans="1:24">
      <c r="A220"/>
      <c r="B220"/>
      <c r="C220"/>
      <c r="D220"/>
      <c r="E220"/>
      <c r="F220"/>
      <c r="G220"/>
      <c r="I220"/>
      <c r="J220"/>
      <c r="K220"/>
      <c r="L220"/>
      <c r="M220"/>
      <c r="N220"/>
      <c r="O220"/>
      <c r="X220"/>
    </row>
    <row r="221" spans="1:24">
      <c r="A221"/>
      <c r="B221"/>
      <c r="C221"/>
      <c r="D221"/>
      <c r="E221"/>
      <c r="F221"/>
      <c r="G221"/>
      <c r="I221"/>
      <c r="J221"/>
      <c r="K221"/>
      <c r="L221"/>
      <c r="M221"/>
      <c r="N221"/>
      <c r="O221"/>
      <c r="X221"/>
    </row>
    <row r="222" spans="1:24">
      <c r="A222"/>
      <c r="B222"/>
      <c r="C222"/>
      <c r="D222"/>
      <c r="E222"/>
      <c r="F222"/>
      <c r="G222"/>
      <c r="I222"/>
      <c r="J222"/>
      <c r="K222"/>
      <c r="L222"/>
      <c r="M222"/>
      <c r="N222"/>
      <c r="O222"/>
      <c r="X222"/>
    </row>
    <row r="223" spans="1:24">
      <c r="A223"/>
      <c r="B223"/>
      <c r="C223"/>
      <c r="D223"/>
      <c r="E223"/>
      <c r="F223"/>
      <c r="G223"/>
      <c r="I223"/>
      <c r="J223"/>
      <c r="K223"/>
      <c r="L223"/>
      <c r="M223"/>
      <c r="N223"/>
      <c r="O223"/>
      <c r="X223"/>
    </row>
    <row r="224" spans="1:24">
      <c r="A224"/>
      <c r="B224"/>
      <c r="C224"/>
      <c r="D224"/>
      <c r="E224"/>
      <c r="F224"/>
      <c r="G224"/>
      <c r="I224"/>
      <c r="J224"/>
      <c r="K224"/>
      <c r="L224"/>
      <c r="M224"/>
      <c r="N224"/>
      <c r="O224"/>
      <c r="X224"/>
    </row>
    <row r="225" spans="1:24">
      <c r="A225"/>
      <c r="B225"/>
      <c r="C225"/>
      <c r="D225"/>
      <c r="E225"/>
      <c r="F225"/>
      <c r="G225"/>
      <c r="I225"/>
      <c r="J225"/>
      <c r="K225"/>
      <c r="L225"/>
      <c r="M225"/>
      <c r="N225"/>
      <c r="O225"/>
      <c r="X225"/>
    </row>
    <row r="226" spans="1:24">
      <c r="A226"/>
      <c r="B226"/>
      <c r="C226"/>
      <c r="D226"/>
      <c r="E226"/>
      <c r="F226"/>
      <c r="G226"/>
      <c r="I226"/>
      <c r="J226"/>
      <c r="K226"/>
      <c r="L226"/>
      <c r="M226"/>
      <c r="N226"/>
      <c r="O226"/>
      <c r="X226"/>
    </row>
    <row r="227" spans="1:24">
      <c r="A227"/>
      <c r="B227"/>
      <c r="C227"/>
      <c r="D227"/>
      <c r="E227"/>
      <c r="F227"/>
      <c r="G227"/>
      <c r="I227"/>
      <c r="J227"/>
      <c r="K227"/>
      <c r="L227"/>
      <c r="M227"/>
      <c r="N227"/>
      <c r="O227"/>
      <c r="X227"/>
    </row>
    <row r="228" spans="1:24">
      <c r="A228"/>
      <c r="B228"/>
      <c r="C228"/>
      <c r="D228"/>
      <c r="E228"/>
      <c r="F228"/>
      <c r="G228"/>
      <c r="I228"/>
      <c r="J228"/>
      <c r="K228"/>
      <c r="L228"/>
      <c r="M228"/>
      <c r="N228"/>
      <c r="O228"/>
      <c r="X228"/>
    </row>
    <row r="229" spans="1:24">
      <c r="A229"/>
      <c r="B229"/>
      <c r="C229"/>
      <c r="D229"/>
      <c r="E229"/>
      <c r="F229"/>
      <c r="G229"/>
      <c r="I229"/>
      <c r="J229"/>
      <c r="K229"/>
      <c r="L229"/>
      <c r="M229"/>
      <c r="N229"/>
      <c r="O229"/>
      <c r="X229"/>
    </row>
    <row r="230" spans="1:24">
      <c r="A230"/>
      <c r="B230"/>
      <c r="C230"/>
      <c r="D230"/>
      <c r="E230"/>
      <c r="F230"/>
      <c r="G230"/>
      <c r="I230"/>
      <c r="J230"/>
      <c r="K230"/>
      <c r="L230"/>
      <c r="M230"/>
      <c r="N230"/>
      <c r="O230"/>
      <c r="X230"/>
    </row>
    <row r="231" spans="1:24">
      <c r="A231"/>
      <c r="B231"/>
      <c r="C231"/>
      <c r="D231"/>
      <c r="E231"/>
      <c r="F231"/>
      <c r="G231"/>
      <c r="I231"/>
      <c r="J231"/>
      <c r="K231"/>
      <c r="L231"/>
      <c r="M231"/>
      <c r="N231"/>
      <c r="O231"/>
      <c r="X231"/>
    </row>
    <row r="232" spans="1:24">
      <c r="A232"/>
      <c r="B232"/>
      <c r="C232"/>
      <c r="D232"/>
      <c r="E232"/>
      <c r="F232"/>
      <c r="G232"/>
      <c r="I232"/>
      <c r="J232"/>
      <c r="K232"/>
      <c r="L232"/>
      <c r="M232"/>
      <c r="N232"/>
      <c r="O232"/>
      <c r="X232"/>
    </row>
    <row r="233" spans="1:24">
      <c r="A233"/>
      <c r="B233"/>
      <c r="C233"/>
      <c r="D233"/>
      <c r="E233"/>
      <c r="F233"/>
      <c r="G233"/>
      <c r="I233"/>
      <c r="J233"/>
      <c r="K233"/>
      <c r="L233"/>
      <c r="M233"/>
      <c r="N233"/>
      <c r="O233"/>
      <c r="X233"/>
    </row>
    <row r="234" spans="1:24">
      <c r="A234"/>
      <c r="B234"/>
      <c r="C234"/>
      <c r="D234"/>
      <c r="E234"/>
      <c r="F234"/>
      <c r="G234"/>
      <c r="X234"/>
    </row>
    <row r="235" spans="1:24">
      <c r="A235"/>
      <c r="B235"/>
      <c r="C235"/>
      <c r="D235"/>
      <c r="E235"/>
      <c r="F235"/>
      <c r="G235"/>
      <c r="X235"/>
    </row>
    <row r="236" spans="1:24">
      <c r="A236"/>
      <c r="B236"/>
      <c r="C236"/>
      <c r="D236"/>
      <c r="E236"/>
      <c r="F236"/>
      <c r="G236"/>
      <c r="X236"/>
    </row>
    <row r="237" spans="1:24">
      <c r="A237"/>
      <c r="B237"/>
      <c r="C237"/>
      <c r="D237"/>
      <c r="E237"/>
      <c r="F237"/>
      <c r="G237"/>
      <c r="X237"/>
    </row>
    <row r="238" spans="1:24">
      <c r="A238"/>
      <c r="B238"/>
      <c r="C238"/>
      <c r="D238"/>
      <c r="E238"/>
      <c r="F238"/>
      <c r="G238"/>
      <c r="X238"/>
    </row>
    <row r="239" spans="1:24">
      <c r="A239"/>
      <c r="B239"/>
      <c r="C239"/>
      <c r="D239"/>
      <c r="E239"/>
      <c r="F239"/>
      <c r="G239"/>
      <c r="X239"/>
    </row>
    <row r="240" spans="1:24">
      <c r="A240"/>
      <c r="B240"/>
      <c r="C240"/>
      <c r="D240"/>
      <c r="E240"/>
      <c r="F240"/>
      <c r="G240"/>
      <c r="X240"/>
    </row>
    <row r="241" spans="1:24">
      <c r="A241"/>
      <c r="B241"/>
      <c r="C241"/>
      <c r="D241"/>
      <c r="E241"/>
      <c r="F241"/>
      <c r="G241"/>
      <c r="X241"/>
    </row>
    <row r="242" spans="1:24">
      <c r="A242"/>
      <c r="B242"/>
      <c r="C242"/>
      <c r="D242"/>
      <c r="E242"/>
      <c r="F242"/>
      <c r="G242"/>
      <c r="X242"/>
    </row>
    <row r="243" spans="1:24">
      <c r="A243"/>
      <c r="B243"/>
      <c r="C243"/>
      <c r="D243"/>
      <c r="E243"/>
      <c r="F243"/>
      <c r="G243"/>
      <c r="X243"/>
    </row>
    <row r="244" spans="1:24">
      <c r="A244"/>
      <c r="B244"/>
      <c r="C244"/>
      <c r="D244"/>
      <c r="E244"/>
      <c r="F244"/>
      <c r="G244"/>
      <c r="X244"/>
    </row>
    <row r="245" spans="1:24">
      <c r="A245"/>
      <c r="B245"/>
      <c r="C245"/>
      <c r="D245"/>
      <c r="E245"/>
      <c r="F245"/>
      <c r="G245"/>
      <c r="X245"/>
    </row>
    <row r="246" spans="1:24">
      <c r="A246"/>
      <c r="B246"/>
      <c r="C246"/>
      <c r="D246"/>
      <c r="E246"/>
      <c r="F246"/>
      <c r="G246"/>
      <c r="X246"/>
    </row>
    <row r="247" spans="1:24">
      <c r="A247"/>
      <c r="B247"/>
      <c r="C247"/>
      <c r="D247"/>
      <c r="E247"/>
      <c r="F247"/>
      <c r="G247"/>
      <c r="X247"/>
    </row>
    <row r="248" spans="1:24">
      <c r="A248"/>
      <c r="B248"/>
      <c r="C248"/>
      <c r="D248"/>
      <c r="E248"/>
      <c r="F248"/>
      <c r="G248"/>
      <c r="X248"/>
    </row>
    <row r="249" spans="1:24">
      <c r="A249"/>
      <c r="B249"/>
      <c r="C249"/>
      <c r="D249"/>
      <c r="E249"/>
      <c r="F249"/>
      <c r="G249"/>
      <c r="X249"/>
    </row>
    <row r="250" spans="1:24">
      <c r="A250"/>
      <c r="B250"/>
      <c r="C250"/>
      <c r="D250"/>
      <c r="E250"/>
      <c r="F250"/>
      <c r="G250"/>
      <c r="X250"/>
    </row>
    <row r="251" spans="1:24">
      <c r="A251"/>
      <c r="B251"/>
      <c r="C251"/>
      <c r="D251"/>
      <c r="E251"/>
      <c r="F251"/>
      <c r="G251"/>
      <c r="X251"/>
    </row>
    <row r="252" spans="1:24">
      <c r="A252"/>
      <c r="B252"/>
      <c r="C252"/>
      <c r="D252"/>
      <c r="E252"/>
      <c r="F252"/>
      <c r="G252"/>
      <c r="X252"/>
    </row>
    <row r="253" spans="1:24">
      <c r="A253"/>
      <c r="B253"/>
      <c r="C253"/>
      <c r="D253"/>
      <c r="E253"/>
      <c r="F253"/>
      <c r="G253"/>
      <c r="X253"/>
    </row>
    <row r="254" spans="1:24">
      <c r="A254"/>
      <c r="B254"/>
      <c r="C254"/>
      <c r="D254"/>
      <c r="E254"/>
      <c r="F254"/>
      <c r="G254"/>
      <c r="X254"/>
    </row>
    <row r="255" spans="1:24">
      <c r="A255"/>
      <c r="B255"/>
      <c r="C255"/>
      <c r="D255"/>
      <c r="E255"/>
      <c r="F255"/>
      <c r="G255"/>
      <c r="X255"/>
    </row>
    <row r="256" spans="1:24">
      <c r="A256"/>
      <c r="B256"/>
      <c r="C256"/>
      <c r="D256"/>
      <c r="E256"/>
      <c r="F256"/>
      <c r="G256"/>
      <c r="X256"/>
    </row>
    <row r="257" spans="1:24">
      <c r="A257"/>
      <c r="B257"/>
      <c r="C257"/>
      <c r="D257"/>
      <c r="E257"/>
      <c r="F257"/>
      <c r="G257"/>
      <c r="X257"/>
    </row>
    <row r="258" spans="1:24">
      <c r="A258"/>
      <c r="B258"/>
      <c r="C258"/>
      <c r="D258"/>
      <c r="E258"/>
      <c r="F258"/>
      <c r="G258"/>
      <c r="X258"/>
    </row>
    <row r="259" spans="1:24">
      <c r="A259"/>
      <c r="B259"/>
      <c r="C259"/>
      <c r="D259"/>
      <c r="E259"/>
      <c r="F259"/>
      <c r="G259"/>
      <c r="X259"/>
    </row>
    <row r="260" spans="1:24">
      <c r="A260"/>
      <c r="B260"/>
      <c r="C260"/>
      <c r="D260"/>
      <c r="E260"/>
      <c r="F260"/>
      <c r="G260"/>
      <c r="X260"/>
    </row>
    <row r="261" spans="1:24">
      <c r="A261"/>
      <c r="B261"/>
      <c r="C261"/>
      <c r="D261"/>
      <c r="E261"/>
      <c r="F261"/>
      <c r="G261"/>
      <c r="X261"/>
    </row>
    <row r="262" spans="1:24">
      <c r="A262"/>
      <c r="B262"/>
      <c r="C262"/>
      <c r="D262"/>
      <c r="E262"/>
      <c r="F262"/>
      <c r="G262"/>
      <c r="X262"/>
    </row>
    <row r="263" spans="1:24">
      <c r="A263"/>
      <c r="B263"/>
      <c r="C263"/>
      <c r="D263"/>
      <c r="E263"/>
      <c r="F263"/>
      <c r="G263"/>
      <c r="X263"/>
    </row>
  </sheetData>
  <sheetProtection autoFilter="0" pivotTables="0"/>
  <mergeCells count="1">
    <mergeCell ref="Q11:R11"/>
  </mergeCells>
  <conditionalFormatting sqref="AE4">
    <cfRule type="cellIs" dxfId="120" priority="8" operator="between">
      <formula>4.3</formula>
      <formula>0.1</formula>
    </cfRule>
  </conditionalFormatting>
  <conditionalFormatting sqref="AH4">
    <cfRule type="cellIs" dxfId="119" priority="7" operator="between">
      <formula>4.3</formula>
      <formula>0.01</formula>
    </cfRule>
  </conditionalFormatting>
  <conditionalFormatting sqref="R12:R13">
    <cfRule type="cellIs" dxfId="118" priority="2" operator="lessThan">
      <formula>0.895</formula>
    </cfRule>
  </conditionalFormatting>
  <pageMargins left="0.7" right="0.7" top="0.75" bottom="0.75" header="0.3" footer="0.3"/>
  <pageSetup paperSize="9" orientation="portrait" r:id="rId7"/>
  <headerFooter>
    <oddHeader>&amp;L&amp;"Arial"&amp;8&amp;K000000 INTERNAL&amp;1#_x000D_</oddHeader>
  </headerFooter>
  <ignoredErrors>
    <ignoredError sqref="V6:V7 T2" unlockedFormula="1"/>
  </ignoredErrors>
</worksheet>
</file>

<file path=docMetadata/LabelInfo.xml><?xml version="1.0" encoding="utf-8"?>
<clbl:labelList xmlns:clbl="http://schemas.microsoft.com/office/2020/mipLabelMetadata">
  <clbl:label id="{b1c9b508-7c6e-42bd-bedf-808292653d6c}" enabled="1" method="Standard" siteId="{2882be50-2012-4d88-ac86-544124e120c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Dashboard</vt:lpstr>
      <vt:lpstr>Investor List</vt:lpstr>
      <vt:lpstr>Investor Master Data</vt:lpstr>
      <vt:lpstr>Main_Data_Sales</vt:lpstr>
      <vt:lpstr>Main_Data_Service</vt:lpstr>
      <vt:lpstr>Sheet1</vt:lpstr>
      <vt:lpstr>Sheet2</vt:lpstr>
      <vt:lpstr>Pivot_Master</vt:lpstr>
      <vt:lpstr>Dashboard!Print_Area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Pravin Gudihindin (IN)</dc:creator>
  <cp:lastModifiedBy>Ashok GM Sales- Gurudev Motors</cp:lastModifiedBy>
  <cp:lastPrinted>2025-10-24T07:18:21Z</cp:lastPrinted>
  <dcterms:created xsi:type="dcterms:W3CDTF">2025-07-20T14:47:58Z</dcterms:created>
  <dcterms:modified xsi:type="dcterms:W3CDTF">2026-05-30T04:56:53Z</dcterms:modified>
</cp:coreProperties>
</file>